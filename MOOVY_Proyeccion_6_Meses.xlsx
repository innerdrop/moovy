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Conservador" sheetId="2" state="visible" r:id="rId4"/>
    <sheet name="Moderado" sheetId="3" state="visible" r:id="rId5"/>
    <sheet name="Optimis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<sst xmlns="http://schemas.openxmlformats.org/spreadsheetml/2006/main" count="185" uniqueCount="110">
  <si>
    <t xml:space="preserve">MOOVY - Parametros de Proyeccion</t>
  </si>
  <si>
    <t xml:space="preserve">Modifica los valores en AZUL para cambiar las proyecciones</t>
  </si>
  <si>
    <t xml:space="preserve">PARAMETROS GENERALES</t>
  </si>
  <si>
    <t xml:space="preserve">Conservador</t>
  </si>
  <si>
    <t xml:space="preserve">Moderado</t>
  </si>
  <si>
    <t xml:space="preserve">Optimista</t>
  </si>
  <si>
    <t xml:space="preserve">Notas</t>
  </si>
  <si>
    <t xml:space="preserve">Ticket promedio pedido ($)</t>
  </si>
  <si>
    <t xml:space="preserve">Monto promedio que gasta un comprador</t>
  </si>
  <si>
    <t xml:space="preserve">Pedidos/dia MES 1</t>
  </si>
  <si>
    <t xml:space="preserve">Primeros 30 dias de lanzamiento</t>
  </si>
  <si>
    <t xml:space="preserve">Pedidos/dia MES 2</t>
  </si>
  <si>
    <t xml:space="preserve">Comision 8% activa</t>
  </si>
  <si>
    <t xml:space="preserve">Pedidos/dia MES 3</t>
  </si>
  <si>
    <t xml:space="preserve">Crecimiento orgánico</t>
  </si>
  <si>
    <t xml:space="preserve">Pedidos/dia MES 4</t>
  </si>
  <si>
    <t xml:space="preserve">Network effect</t>
  </si>
  <si>
    <t xml:space="preserve">Pedidos/dia MES 5</t>
  </si>
  <si>
    <t xml:space="preserve">Estabilización</t>
  </si>
  <si>
    <t xml:space="preserve">Pedidos/dia MES 6</t>
  </si>
  <si>
    <t xml:space="preserve">Madurez inicial</t>
  </si>
  <si>
    <t xml:space="preserve">Comercios activos MES 1</t>
  </si>
  <si>
    <t xml:space="preserve">Lanzamiento</t>
  </si>
  <si>
    <t xml:space="preserve">Comercios activos MES 2</t>
  </si>
  <si>
    <t xml:space="preserve">Boca en boca</t>
  </si>
  <si>
    <t xml:space="preserve">Comercios activos MES 3</t>
  </si>
  <si>
    <t xml:space="preserve">Comercios activos MES 4</t>
  </si>
  <si>
    <t xml:space="preserve">Comercios activos MES 5</t>
  </si>
  <si>
    <t xml:space="preserve">Comercios activos MES 6</t>
  </si>
  <si>
    <t xml:space="preserve">% pedidos Marketplace (del total)</t>
  </si>
  <si>
    <t xml:space="preserve">Marketplace activo desde dia 1</t>
  </si>
  <si>
    <t xml:space="preserve">Distancia promedio entrega (km)</t>
  </si>
  <si>
    <t xml:space="preserve">Zona A Ushuaia</t>
  </si>
  <si>
    <t xml:space="preserve">% pedidos en moto</t>
  </si>
  <si>
    <t xml:space="preserve">Principal vehiculo delivery</t>
  </si>
  <si>
    <t xml:space="preserve">% pedidos en auto</t>
  </si>
  <si>
    <t xml:space="preserve">Paquetes medianos</t>
  </si>
  <si>
    <t xml:space="preserve">% pedidos en bici</t>
  </si>
  <si>
    <t xml:space="preserve">Cercanos</t>
  </si>
  <si>
    <t xml:space="preserve">COSTOS Y COMISIONES (Biblia v4)</t>
  </si>
  <si>
    <t xml:space="preserve">Valor</t>
  </si>
  <si>
    <t xml:space="preserve">Comision comercios MES 1</t>
  </si>
  <si>
    <t xml:space="preserve">0% primer mes</t>
  </si>
  <si>
    <t xml:space="preserve">Comision comercios MES 2+</t>
  </si>
  <si>
    <t xml:space="preserve">8% sobre ventas</t>
  </si>
  <si>
    <t xml:space="preserve">Comision marketplace</t>
  </si>
  <si>
    <t xml:space="preserve">12% desde dia 1</t>
  </si>
  <si>
    <t xml:space="preserve">Costo operativo embebido</t>
  </si>
  <si>
    <t xml:space="preserve">5% del subtotal en delivery</t>
  </si>
  <si>
    <t xml:space="preserve">Costo MercadoPago</t>
  </si>
  <si>
    <t xml:space="preserve">~3.81% redondeado a 4%</t>
  </si>
  <si>
    <t xml:space="preserve">% pedidos con MercadoPago</t>
  </si>
  <si>
    <t xml:space="preserve">Estimado 50/50 cash vs MP</t>
  </si>
  <si>
    <t xml:space="preserve">Fee repartidor (% del viaje)</t>
  </si>
  <si>
    <t xml:space="preserve">80% para el driver</t>
  </si>
  <si>
    <t xml:space="preserve">Fee minimo moto ($)</t>
  </si>
  <si>
    <t xml:space="preserve">Biblia v4</t>
  </si>
  <si>
    <t xml:space="preserve">Fee minimo auto ($)</t>
  </si>
  <si>
    <t xml:space="preserve">Biblia v4 actualizado</t>
  </si>
  <si>
    <t xml:space="preserve">Fee minimo bici ($)</t>
  </si>
  <si>
    <t xml:space="preserve">Costo/km moto ($)</t>
  </si>
  <si>
    <t xml:space="preserve">Biblia v4 - $1,655/L</t>
  </si>
  <si>
    <t xml:space="preserve">Factor distancia</t>
  </si>
  <si>
    <t xml:space="preserve">Ida + vuelta + maniobras</t>
  </si>
  <si>
    <t xml:space="preserve">Gastos fijos mensuales ($)</t>
  </si>
  <si>
    <t xml:space="preserve">VPS + Internet + Claude + APIs</t>
  </si>
  <si>
    <t xml:space="preserve">Retiro fundador (% del neto positivo)</t>
  </si>
  <si>
    <t xml:space="preserve">10% solo si hay ganancia neta</t>
  </si>
  <si>
    <t xml:space="preserve">Publicidad por comercio/mes ($)</t>
  </si>
  <si>
    <t xml:space="preserve">Estimado conservador</t>
  </si>
  <si>
    <t xml:space="preserve">% comercios que pagan publicidad</t>
  </si>
  <si>
    <t xml:space="preserve">No todos pagan</t>
  </si>
  <si>
    <t xml:space="preserve">MOOVY - Proyeccion 6 Meses: CONSERVADOR</t>
  </si>
  <si>
    <t xml:space="preserve">Todos los montos en pesos argentinos (ARS). Los valores se recalculan desde la hoja Parametros.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</si>
  <si>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</si>
  <si>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</si>
  <si>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</si>
  <si>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</si>
  <si>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</si>
  <si>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</si>
  <si>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TOTAL</t>
  </si>
  <si>
    <t xml:space="preserve">VOLUMEN DE OPERACION</t>
  </si>
  <si>
    <t xml:space="preserve">Pedidos por dia</t>
  </si>
  <si>
    <t xml:space="preserve">Pedidos por mes</t>
  </si>
  <si>
    <t xml:space="preserve">Comercios activos</t>
  </si>
  <si>
    <t xml:space="preserve">Ticket promedio ($)</t>
  </si>
  <si>
    <t xml:space="preserve">GMV mensual ($)</t>
  </si>
  <si>
    <t xml:space="preserve">INGRESOS</t>
  </si>
  <si>
    <t xml:space="preserve">Comision comercios gastro ($)</t>
  </si>
  <si>
    <t xml:space="preserve">Comision marketplace ($)</t>
  </si>
  <si>
    <t xml:space="preserve">Ingresos delivery (20% del fee)</t>
  </si>
  <si>
    <t xml:space="preserve">Ingreso operativo 5% embebido ($)</t>
  </si>
  <si>
    <t xml:space="preserve">Ingresos publicidad comercios ($)</t>
  </si>
  <si>
    <t xml:space="preserve">TOTAL INGRESOS BRUTOS ($)</t>
  </si>
  <si>
    <t xml:space="preserve">EGRESOS</t>
  </si>
  <si>
    <t xml:space="preserve">Costo MercadoPago ($)</t>
  </si>
  <si>
    <t xml:space="preserve">Cashback MOOVER estimado ($)</t>
  </si>
  <si>
    <t xml:space="preserve">Reembolsos y cancelaciones ($)</t>
  </si>
  <si>
    <t xml:space="preserve">TOTAL EGRESOS ($)</t>
  </si>
  <si>
    <t xml:space="preserve">RESULTADO</t>
  </si>
  <si>
    <t xml:space="preserve">RESULTADO NETO MENSUAL ($)</t>
  </si>
  <si>
    <t xml:space="preserve">Retiro fundador (10% si neto &gt; 0)</t>
  </si>
  <si>
    <t xml:space="preserve">QUEDA EN CAJA ($)</t>
  </si>
  <si>
    <t xml:space="preserve">CAJA ACUMULADA ($)</t>
  </si>
  <si>
    <t xml:space="preserve">METRICAS CLAVE</t>
  </si>
  <si>
    <t xml:space="preserve">Margen neto (%)</t>
  </si>
  <si>
    <t xml:space="preserve">Ingreso por pedido ($)</t>
  </si>
  <si>
    <t xml:space="preserve">GMV diario ($)</t>
  </si>
  <si>
    <t xml:space="preserve">MOOVY - Proyeccion 6 Meses: MODERADO</t>
  </si>
  <si>
    <t xml:space="preserve">MOOVY - Proyeccion 6 Meses: OPTIMISTA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</si>
</sst>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"/>
    <numFmt numFmtId="168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306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F9C4"/>
        <bgColor rgb="FFFFEBEE"/>
      </patternFill>
    </fill>
    <fill>
      <patternFill patternType="solid">
        <fgColor rgb="FFE30613"/>
        <bgColor rgb="FF993300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3061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EBEE"/>
      <rgbColor rgb="FF99CCFF"/>
      <rgbColor rgb="FFFF99CC"/>
      <rgbColor rgb="FFCC99FF"/>
      <rgbColor rgb="FFFFCC99"/>
      <rgbColor rgb="FF2E86DE"/>
      <rgbColor rgb="FF33CCCC"/>
      <rgbColor rgb="FF99CC00"/>
      <rgbColor rgb="FFFFCC00"/>
      <rgbColor rgb="FFF39C12"/>
      <rgbColor rgb="FFFF6600"/>
      <rgbColor rgb="FF666666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0613"/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/>
      <c r="B5" s="4" t="s">
        <v>3</v>
      </c>
      <c r="C5" s="4" t="s">
        <v>4</v>
      </c>
      <c r="D5" s="4" t="s">
        <v>5</v>
      </c>
      <c r="E5" s="4" t="s">
        <v>6</v>
      </c>
    </row>
    <row r="6" customFormat="false" ht="15" hidden="false" customHeight="false" outlineLevel="0" collapsed="false">
      <c r="A6" s="5" t="s">
        <v>7</v>
      </c>
      <c r="B6" s="6" t="n">
        <v>15000</v>
      </c>
      <c r="C6" s="6" t="n">
        <v>20000</v>
      </c>
      <c r="D6" s="6" t="n">
        <v>25000</v>
      </c>
      <c r="E6" s="7" t="s">
        <v>8</v>
      </c>
    </row>
    <row r="7" customFormat="false" ht="15" hidden="false" customHeight="false" outlineLevel="0" collapsed="false">
      <c r="A7" s="5" t="s">
        <v>9</v>
      </c>
      <c r="B7" s="6" t="n">
        <v>15</v>
      </c>
      <c r="C7" s="6" t="n">
        <v>25</v>
      </c>
      <c r="D7" s="6" t="n">
        <v>40</v>
      </c>
      <c r="E7" s="7" t="s">
        <v>10</v>
      </c>
    </row>
    <row r="8" customFormat="false" ht="15" hidden="false" customHeight="false" outlineLevel="0" collapsed="false">
      <c r="A8" s="5" t="s">
        <v>11</v>
      </c>
      <c r="B8" s="6" t="n">
        <v>30</v>
      </c>
      <c r="C8" s="6" t="n">
        <v>50</v>
      </c>
      <c r="D8" s="6" t="n">
        <v>80</v>
      </c>
      <c r="E8" s="7" t="s">
        <v>12</v>
      </c>
    </row>
    <row r="9" customFormat="false" ht="15" hidden="false" customHeight="false" outlineLevel="0" collapsed="false">
      <c r="A9" s="5" t="s">
        <v>13</v>
      </c>
      <c r="B9" s="6" t="n">
        <v>45</v>
      </c>
      <c r="C9" s="6" t="n">
        <v>70</v>
      </c>
      <c r="D9" s="6" t="n">
        <v>110</v>
      </c>
      <c r="E9" s="7" t="s">
        <v>14</v>
      </c>
    </row>
    <row r="10" customFormat="false" ht="15" hidden="false" customHeight="false" outlineLevel="0" collapsed="false">
      <c r="A10" s="5" t="s">
        <v>15</v>
      </c>
      <c r="B10" s="6" t="n">
        <v>55</v>
      </c>
      <c r="C10" s="6" t="n">
        <v>85</v>
      </c>
      <c r="D10" s="6" t="n">
        <v>130</v>
      </c>
      <c r="E10" s="7" t="s">
        <v>16</v>
      </c>
    </row>
    <row r="11" customFormat="false" ht="15" hidden="false" customHeight="false" outlineLevel="0" collapsed="false">
      <c r="A11" s="5" t="s">
        <v>17</v>
      </c>
      <c r="B11" s="6" t="n">
        <v>65</v>
      </c>
      <c r="C11" s="6" t="n">
        <v>100</v>
      </c>
      <c r="D11" s="6" t="n">
        <v>150</v>
      </c>
      <c r="E11" s="7" t="s">
        <v>18</v>
      </c>
    </row>
    <row r="12" customFormat="false" ht="15" hidden="false" customHeight="false" outlineLevel="0" collapsed="false">
      <c r="A12" s="5" t="s">
        <v>19</v>
      </c>
      <c r="B12" s="6" t="n">
        <v>75</v>
      </c>
      <c r="C12" s="6" t="n">
        <v>120</v>
      </c>
      <c r="D12" s="6" t="n">
        <v>170</v>
      </c>
      <c r="E12" s="7" t="s">
        <v>20</v>
      </c>
    </row>
    <row r="13" customFormat="false" ht="15" hidden="false" customHeight="false" outlineLevel="0" collapsed="false">
      <c r="A13" s="5" t="s">
        <v>21</v>
      </c>
      <c r="B13" s="6" t="n">
        <v>5</v>
      </c>
      <c r="C13" s="6" t="n">
        <v>8</v>
      </c>
      <c r="D13" s="6" t="n">
        <v>12</v>
      </c>
      <c r="E13" s="7" t="s">
        <v>22</v>
      </c>
    </row>
    <row r="14" customFormat="false" ht="15" hidden="false" customHeight="false" outlineLevel="0" collapsed="false">
      <c r="A14" s="5" t="s">
        <v>23</v>
      </c>
      <c r="B14" s="6" t="n">
        <v>8</v>
      </c>
      <c r="C14" s="6" t="n">
        <v>15</v>
      </c>
      <c r="D14" s="6" t="n">
        <v>22</v>
      </c>
      <c r="E14" s="7" t="s">
        <v>24</v>
      </c>
    </row>
    <row r="15" customFormat="false" ht="15" hidden="false" customHeight="false" outlineLevel="0" collapsed="false">
      <c r="A15" s="5" t="s">
        <v>25</v>
      </c>
      <c r="B15" s="6" t="n">
        <v>12</v>
      </c>
      <c r="C15" s="6" t="n">
        <v>22</v>
      </c>
      <c r="D15" s="6" t="n">
        <v>32</v>
      </c>
      <c r="E15" s="7"/>
    </row>
    <row r="16" customFormat="false" ht="15" hidden="false" customHeight="false" outlineLevel="0" collapsed="false">
      <c r="A16" s="5" t="s">
        <v>26</v>
      </c>
      <c r="B16" s="6" t="n">
        <v>16</v>
      </c>
      <c r="C16" s="6" t="n">
        <v>28</v>
      </c>
      <c r="D16" s="6" t="n">
        <v>40</v>
      </c>
      <c r="E16" s="7"/>
    </row>
    <row r="17" customFormat="false" ht="15" hidden="false" customHeight="false" outlineLevel="0" collapsed="false">
      <c r="A17" s="5" t="s">
        <v>27</v>
      </c>
      <c r="B17" s="6" t="n">
        <v>20</v>
      </c>
      <c r="C17" s="6" t="n">
        <v>35</v>
      </c>
      <c r="D17" s="6" t="n">
        <v>48</v>
      </c>
      <c r="E17" s="7"/>
    </row>
    <row r="18" customFormat="false" ht="15" hidden="false" customHeight="false" outlineLevel="0" collapsed="false">
      <c r="A18" s="5" t="s">
        <v>28</v>
      </c>
      <c r="B18" s="6" t="n">
        <v>25</v>
      </c>
      <c r="C18" s="6" t="n">
        <v>42</v>
      </c>
      <c r="D18" s="6" t="n">
        <v>55</v>
      </c>
      <c r="E18" s="7"/>
    </row>
    <row r="19" customFormat="false" ht="15" hidden="false" customHeight="false" outlineLevel="0" collapsed="false">
      <c r="A19" s="5" t="s">
        <v>29</v>
      </c>
      <c r="B19" s="8" t="n">
        <v>0.15</v>
      </c>
      <c r="C19" s="8" t="n">
        <v>0.2</v>
      </c>
      <c r="D19" s="8" t="n">
        <v>0.25</v>
      </c>
      <c r="E19" s="7" t="s">
        <v>30</v>
      </c>
    </row>
    <row r="20" customFormat="false" ht="15" hidden="false" customHeight="false" outlineLevel="0" collapsed="false">
      <c r="A20" s="5" t="s">
        <v>31</v>
      </c>
      <c r="B20" s="6" t="n">
        <v>3</v>
      </c>
      <c r="C20" s="6" t="n">
        <v>3</v>
      </c>
      <c r="D20" s="6" t="n">
        <v>3</v>
      </c>
      <c r="E20" s="7" t="s">
        <v>32</v>
      </c>
    </row>
    <row r="21" customFormat="false" ht="15" hidden="false" customHeight="false" outlineLevel="0" collapsed="false">
      <c r="A21" s="5" t="s">
        <v>33</v>
      </c>
      <c r="B21" s="8" t="n">
        <v>0.7</v>
      </c>
      <c r="C21" s="8" t="n">
        <v>0.7</v>
      </c>
      <c r="D21" s="8" t="n">
        <v>0.7</v>
      </c>
      <c r="E21" s="7" t="s">
        <v>34</v>
      </c>
    </row>
    <row r="22" customFormat="false" ht="15" hidden="false" customHeight="false" outlineLevel="0" collapsed="false">
      <c r="A22" s="5" t="s">
        <v>35</v>
      </c>
      <c r="B22" s="8" t="n">
        <v>0.2</v>
      </c>
      <c r="C22" s="8" t="n">
        <v>0.2</v>
      </c>
      <c r="D22" s="8" t="n">
        <v>0.2</v>
      </c>
      <c r="E22" s="7" t="s">
        <v>36</v>
      </c>
    </row>
    <row r="23" customFormat="false" ht="15" hidden="false" customHeight="false" outlineLevel="0" collapsed="false">
      <c r="A23" s="5" t="s">
        <v>37</v>
      </c>
      <c r="B23" s="8" t="n">
        <v>0.1</v>
      </c>
      <c r="C23" s="8" t="n">
        <v>0.1</v>
      </c>
      <c r="D23" s="8" t="n">
        <v>0.1</v>
      </c>
      <c r="E23" s="7" t="s">
        <v>38</v>
      </c>
    </row>
    <row r="25" customFormat="false" ht="15" hidden="false" customHeight="false" outlineLevel="0" collapsed="false">
      <c r="A25" s="3" t="s">
        <v>39</v>
      </c>
    </row>
    <row r="26" customFormat="false" ht="15" hidden="false" customHeight="false" outlineLevel="0" collapsed="false">
      <c r="A26" s="4"/>
      <c r="B26" s="4" t="s">
        <v>40</v>
      </c>
      <c r="C26" s="4"/>
      <c r="D26" s="4"/>
      <c r="E26" s="4" t="s">
        <v>6</v>
      </c>
    </row>
    <row r="27" customFormat="false" ht="15" hidden="false" customHeight="false" outlineLevel="0" collapsed="false">
      <c r="A27" s="5" t="s">
        <v>41</v>
      </c>
      <c r="B27" s="6" t="n">
        <v>0</v>
      </c>
      <c r="E27" s="7" t="s">
        <v>42</v>
      </c>
    </row>
    <row r="28" customFormat="false" ht="15" hidden="false" customHeight="false" outlineLevel="0" collapsed="false">
      <c r="A28" s="5" t="s">
        <v>43</v>
      </c>
      <c r="B28" s="8" t="n">
        <v>0.08</v>
      </c>
      <c r="E28" s="7" t="s">
        <v>44</v>
      </c>
    </row>
    <row r="29" customFormat="false" ht="15" hidden="false" customHeight="false" outlineLevel="0" collapsed="false">
      <c r="A29" s="5" t="s">
        <v>45</v>
      </c>
      <c r="B29" s="8" t="n">
        <v>0.12</v>
      </c>
      <c r="E29" s="7" t="s">
        <v>46</v>
      </c>
    </row>
    <row r="30" customFormat="false" ht="15" hidden="false" customHeight="false" outlineLevel="0" collapsed="false">
      <c r="A30" s="5" t="s">
        <v>47</v>
      </c>
      <c r="B30" s="8" t="n">
        <v>0.05</v>
      </c>
      <c r="E30" s="7" t="s">
        <v>48</v>
      </c>
    </row>
    <row r="31" customFormat="false" ht="15" hidden="false" customHeight="false" outlineLevel="0" collapsed="false">
      <c r="A31" s="5" t="s">
        <v>49</v>
      </c>
      <c r="B31" s="8" t="n">
        <v>0.04</v>
      </c>
      <c r="E31" s="7" t="s">
        <v>50</v>
      </c>
    </row>
    <row r="32" customFormat="false" ht="15" hidden="false" customHeight="false" outlineLevel="0" collapsed="false">
      <c r="A32" s="5" t="s">
        <v>51</v>
      </c>
      <c r="B32" s="8" t="n">
        <v>0.5</v>
      </c>
      <c r="E32" s="7" t="s">
        <v>52</v>
      </c>
    </row>
    <row r="33" customFormat="false" ht="15" hidden="false" customHeight="false" outlineLevel="0" collapsed="false">
      <c r="A33" s="5" t="s">
        <v>53</v>
      </c>
      <c r="B33" s="8" t="n">
        <v>0.8</v>
      </c>
      <c r="E33" s="7" t="s">
        <v>54</v>
      </c>
    </row>
    <row r="34" customFormat="false" ht="15" hidden="false" customHeight="false" outlineLevel="0" collapsed="false">
      <c r="A34" s="5" t="s">
        <v>55</v>
      </c>
      <c r="B34" s="6" t="n">
        <v>1500</v>
      </c>
      <c r="E34" s="7" t="s">
        <v>56</v>
      </c>
    </row>
    <row r="35" customFormat="false" ht="15" hidden="false" customHeight="false" outlineLevel="0" collapsed="false">
      <c r="A35" s="5" t="s">
        <v>57</v>
      </c>
      <c r="B35" s="6" t="n">
        <v>3000</v>
      </c>
      <c r="E35" s="7" t="s">
        <v>58</v>
      </c>
    </row>
    <row r="36" customFormat="false" ht="15" hidden="false" customHeight="false" outlineLevel="0" collapsed="false">
      <c r="A36" s="5" t="s">
        <v>59</v>
      </c>
      <c r="B36" s="6" t="n">
        <v>800</v>
      </c>
      <c r="E36" s="7" t="s">
        <v>56</v>
      </c>
    </row>
    <row r="37" customFormat="false" ht="15" hidden="false" customHeight="false" outlineLevel="0" collapsed="false">
      <c r="A37" s="5" t="s">
        <v>60</v>
      </c>
      <c r="B37" s="6" t="n">
        <v>76</v>
      </c>
      <c r="E37" s="7" t="s">
        <v>61</v>
      </c>
    </row>
    <row r="38" customFormat="false" ht="15" hidden="false" customHeight="false" outlineLevel="0" collapsed="false">
      <c r="A38" s="5" t="s">
        <v>62</v>
      </c>
      <c r="B38" s="6" t="n">
        <v>2.2</v>
      </c>
      <c r="E38" s="7" t="s">
        <v>63</v>
      </c>
    </row>
    <row r="39" customFormat="false" ht="15" hidden="false" customHeight="false" outlineLevel="0" collapsed="false">
      <c r="A39" s="5" t="s">
        <v>64</v>
      </c>
      <c r="B39" s="6" t="n">
        <v>440641</v>
      </c>
      <c r="E39" s="7" t="s">
        <v>65</v>
      </c>
    </row>
    <row r="40" customFormat="false" ht="15" hidden="false" customHeight="false" outlineLevel="0" collapsed="false">
      <c r="A40" s="5" t="s">
        <v>66</v>
      </c>
      <c r="B40" s="8" t="n">
        <v>0.1</v>
      </c>
      <c r="E40" s="7" t="s">
        <v>67</v>
      </c>
    </row>
    <row r="41" customFormat="false" ht="15" hidden="false" customHeight="false" outlineLevel="0" collapsed="false">
      <c r="A41" s="5" t="s">
        <v>68</v>
      </c>
      <c r="B41" s="6" t="n">
        <v>50000</v>
      </c>
      <c r="E41" s="7" t="s">
        <v>69</v>
      </c>
    </row>
    <row r="42" customFormat="false" ht="15" hidden="false" customHeight="false" outlineLevel="0" collapsed="false">
      <c r="A42" s="5" t="s">
        <v>70</v>
      </c>
      <c r="B42" s="8" t="n">
        <v>0.3</v>
      </c>
      <c r="E42" s="7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DE"/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8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9"/>
      <c r="B4" s="9" t="s">
        <v>74</v>
      </c>
      <c r="C4" s="9" t="s">
        <v>75</v>
      </c>
      <c r="D4" s="9" t="s">
        <v>76</v>
      </c>
      <c r="E4" s="9" t="s">
        <v>77</v>
      </c>
      <c r="F4" s="9" t="s">
        <v>78</v>
      </c>
      <c r="G4" s="9" t="s">
        <v>79</v>
      </c>
      <c r="H4" s="9" t="s">
        <v>80</v>
      </c>
    </row>
    <row r="6" customFormat="false" ht="15" hidden="false" customHeight="false" outlineLevel="0" collapsed="false">
      <c r="A6" s="3" t="s">
        <v>81</v>
      </c>
    </row>
    <row r="7" customFormat="false" ht="15" hidden="false" customHeight="false" outlineLevel="0" collapsed="false">
      <c r="A7" s="5" t="s">
        <v>82</v>
      </c>
      <c r="B7" s="10" t="n">
        <f aca="false">Parametros!B7</f>
        <v>15</v>
      </c>
      <c r="C7" s="10" t="n">
        <f aca="false">Parametros!B8</f>
        <v>30</v>
      </c>
      <c r="D7" s="10" t="n">
        <f aca="false">Parametros!B9</f>
        <v>45</v>
      </c>
      <c r="E7" s="10" t="n">
        <f aca="false">Parametros!B10</f>
        <v>55</v>
      </c>
      <c r="F7" s="10" t="n">
        <f aca="false">Parametros!B11</f>
        <v>65</v>
      </c>
      <c r="G7" s="10" t="n">
        <f aca="false">Parametros!B12</f>
        <v>75</v>
      </c>
      <c r="H7" s="11" t="n">
        <f aca="false">AVERAGE(B7:G7)</f>
        <v>47.5</v>
      </c>
    </row>
    <row r="8" customFormat="false" ht="15" hidden="false" customHeight="false" outlineLevel="0" collapsed="false">
      <c r="A8" s="5" t="s">
        <v>83</v>
      </c>
      <c r="B8" s="10" t="n">
        <f aca="false">B7*30</f>
        <v>450</v>
      </c>
      <c r="C8" s="10" t="n">
        <f aca="false">C7*30</f>
        <v>900</v>
      </c>
      <c r="D8" s="10" t="n">
        <f aca="false">D7*30</f>
        <v>1350</v>
      </c>
      <c r="E8" s="10" t="n">
        <f aca="false">E7*30</f>
        <v>1650</v>
      </c>
      <c r="F8" s="10" t="n">
        <f aca="false">F7*30</f>
        <v>1950</v>
      </c>
      <c r="G8" s="10" t="n">
        <f aca="false">G7*30</f>
        <v>2250</v>
      </c>
      <c r="H8" s="12" t="n">
        <f aca="false">SUM(B8:G8)</f>
        <v>8550</v>
      </c>
    </row>
    <row r="9" customFormat="false" ht="15" hidden="false" customHeight="false" outlineLevel="0" collapsed="false">
      <c r="A9" s="5" t="s">
        <v>84</v>
      </c>
      <c r="B9" s="10" t="n">
        <f aca="false">Parametros!B13</f>
        <v>5</v>
      </c>
      <c r="C9" s="10" t="n">
        <f aca="false">Parametros!B14</f>
        <v>8</v>
      </c>
      <c r="D9" s="10" t="n">
        <f aca="false">Parametros!B15</f>
        <v>12</v>
      </c>
      <c r="E9" s="10" t="n">
        <f aca="false">Parametros!B16</f>
        <v>16</v>
      </c>
      <c r="F9" s="10" t="n">
        <f aca="false">Parametros!B17</f>
        <v>20</v>
      </c>
      <c r="G9" s="10" t="n">
        <f aca="false">Parametros!B18</f>
        <v>25</v>
      </c>
      <c r="H9" s="10" t="n">
        <f aca="false">MAX(B9:G9)</f>
        <v>25</v>
      </c>
    </row>
    <row r="10" customFormat="false" ht="15" hidden="false" customHeight="false" outlineLevel="0" collapsed="false">
      <c r="A10" s="5" t="s">
        <v>85</v>
      </c>
      <c r="B10" s="10" t="n">
        <f aca="false">Parametros!B6</f>
        <v>15000</v>
      </c>
      <c r="C10" s="10" t="n">
        <f aca="false">Parametros!B6</f>
        <v>15000</v>
      </c>
      <c r="D10" s="10" t="n">
        <f aca="false">Parametros!B6</f>
        <v>15000</v>
      </c>
      <c r="E10" s="10" t="n">
        <f aca="false">Parametros!B6</f>
        <v>15000</v>
      </c>
      <c r="F10" s="10" t="n">
        <f aca="false">Parametros!B6</f>
        <v>15000</v>
      </c>
      <c r="G10" s="10" t="n">
        <f aca="false">Parametros!B6</f>
        <v>15000</v>
      </c>
      <c r="H10" s="13"/>
    </row>
    <row r="11" customFormat="false" ht="15" hidden="false" customHeight="false" outlineLevel="0" collapsed="false">
      <c r="A11" s="14" t="s">
        <v>86</v>
      </c>
      <c r="B11" s="15" t="n">
        <f aca="false">B8*B10</f>
        <v>6750000</v>
      </c>
      <c r="C11" s="15" t="n">
        <f aca="false">C8*C10</f>
        <v>13500000</v>
      </c>
      <c r="D11" s="15" t="n">
        <f aca="false">D8*D10</f>
        <v>20250000</v>
      </c>
      <c r="E11" s="15" t="n">
        <f aca="false">E8*E10</f>
        <v>24750000</v>
      </c>
      <c r="F11" s="15" t="n">
        <f aca="false">F8*F10</f>
        <v>29250000</v>
      </c>
      <c r="G11" s="15" t="n">
        <f aca="false">G8*G10</f>
        <v>33750000</v>
      </c>
      <c r="H11" s="15" t="n">
        <f aca="false">SUM(B11:G11)</f>
        <v>128250000</v>
      </c>
    </row>
    <row r="13" customFormat="false" ht="15" hidden="false" customHeight="false" outlineLevel="0" collapsed="false">
      <c r="A13" s="3" t="s">
        <v>87</v>
      </c>
    </row>
    <row r="14" customFormat="false" ht="15" hidden="false" customHeight="false" outlineLevel="0" collapsed="false">
      <c r="A14" s="5" t="s">
        <v>88</v>
      </c>
      <c r="B14" s="10" t="n">
        <f aca="false">B11*(1-Parametros!B19)*Parametros!B27</f>
        <v>0</v>
      </c>
      <c r="C14" s="10" t="n">
        <f aca="false">C11*(1-Parametros!B19)*Parametros!B28</f>
        <v>918000</v>
      </c>
      <c r="D14" s="10" t="n">
        <f aca="false">D11*(1-Parametros!B19)*Parametros!B28</f>
        <v>1377000</v>
      </c>
      <c r="E14" s="10" t="n">
        <f aca="false">E11*(1-Parametros!B19)*Parametros!B28</f>
        <v>1683000</v>
      </c>
      <c r="F14" s="10" t="n">
        <f aca="false">F11*(1-Parametros!B19)*Parametros!B28</f>
        <v>1989000</v>
      </c>
      <c r="G14" s="10" t="n">
        <f aca="false">G11*(1-Parametros!B19)*Parametros!B28</f>
        <v>2295000</v>
      </c>
      <c r="H14" s="12" t="n">
        <f aca="false">SUM(B14:G14)</f>
        <v>8262000</v>
      </c>
    </row>
    <row r="15" customFormat="false" ht="15" hidden="false" customHeight="false" outlineLevel="0" collapsed="false">
      <c r="A15" s="5" t="s">
        <v>89</v>
      </c>
      <c r="B15" s="10" t="n">
        <f aca="false">B11*Parametros!B19*Parametros!B29</f>
        <v>121500</v>
      </c>
      <c r="C15" s="10" t="n">
        <f aca="false">C11*Parametros!B19*Parametros!B29</f>
        <v>243000</v>
      </c>
      <c r="D15" s="10" t="n">
        <f aca="false">D11*Parametros!B19*Parametros!B29</f>
        <v>364500</v>
      </c>
      <c r="E15" s="10" t="n">
        <f aca="false">E11*Parametros!B19*Parametros!B29</f>
        <v>445500</v>
      </c>
      <c r="F15" s="10" t="n">
        <f aca="false">F11*Parametros!B19*Parametros!B29</f>
        <v>526500</v>
      </c>
      <c r="G15" s="10" t="n">
        <f aca="false">G11*Parametros!B19*Parametros!B29</f>
        <v>607500</v>
      </c>
      <c r="H15" s="12" t="n">
        <f aca="false">SUM(B15:G15)</f>
        <v>2308500</v>
      </c>
    </row>
    <row r="16" customFormat="false" ht="15" hidden="false" customHeight="false" outlineLevel="0" collapsed="false">
      <c r="A16" s="5" t="s">
        <v>90</v>
      </c>
      <c r="B16" s="10" t="n">
        <f aca="false">B8*(Parametros!B21*Parametros!B34+Parametros!B22*Parametros!B35+Parametros!B23*Parametros!B36)*(1-Parametros!B33)</f>
        <v>155700</v>
      </c>
      <c r="C16" s="10" t="n">
        <f aca="false">C8*(Parametros!B21*Parametros!B34+Parametros!B22*Parametros!B35+Parametros!B23*Parametros!B36)*(1-Parametros!B33)</f>
        <v>311400</v>
      </c>
      <c r="D16" s="10" t="n">
        <f aca="false">D8*(Parametros!B21*Parametros!B34+Parametros!B22*Parametros!B35+Parametros!B23*Parametros!B36)*(1-Parametros!B33)</f>
        <v>467100</v>
      </c>
      <c r="E16" s="10" t="n">
        <f aca="false">E8*(Parametros!B21*Parametros!B34+Parametros!B22*Parametros!B35+Parametros!B23*Parametros!B36)*(1-Parametros!B33)</f>
        <v>570900</v>
      </c>
      <c r="F16" s="10" t="n">
        <f aca="false">F8*(Parametros!B21*Parametros!B34+Parametros!B22*Parametros!B35+Parametros!B23*Parametros!B36)*(1-Parametros!B33)</f>
        <v>674700</v>
      </c>
      <c r="G16" s="10" t="n">
        <f aca="false">G8*(Parametros!B21*Parametros!B34+Parametros!B22*Parametros!B35+Parametros!B23*Parametros!B36)*(1-Parametros!B33)</f>
        <v>778500</v>
      </c>
      <c r="H16" s="12" t="n">
        <f aca="false">SUM(B16:G16)</f>
        <v>2958300</v>
      </c>
    </row>
    <row r="17" customFormat="false" ht="15" hidden="false" customHeight="false" outlineLevel="0" collapsed="false">
      <c r="A17" s="5" t="s">
        <v>91</v>
      </c>
      <c r="B17" s="10" t="n">
        <f aca="false">B11*Parametros!B30</f>
        <v>337500</v>
      </c>
      <c r="C17" s="10" t="n">
        <f aca="false">C11*Parametros!B30</f>
        <v>675000</v>
      </c>
      <c r="D17" s="10" t="n">
        <f aca="false">D11*Parametros!B30</f>
        <v>1012500</v>
      </c>
      <c r="E17" s="10" t="n">
        <f aca="false">E11*Parametros!B30</f>
        <v>1237500</v>
      </c>
      <c r="F17" s="10" t="n">
        <f aca="false">F11*Parametros!B30</f>
        <v>1462500</v>
      </c>
      <c r="G17" s="10" t="n">
        <f aca="false">G11*Parametros!B30</f>
        <v>1687500</v>
      </c>
      <c r="H17" s="12" t="n">
        <f aca="false">SUM(B17:G17)</f>
        <v>6412500</v>
      </c>
    </row>
    <row r="18" customFormat="false" ht="15" hidden="false" customHeight="false" outlineLevel="0" collapsed="false">
      <c r="A18" s="5" t="s">
        <v>92</v>
      </c>
      <c r="B18" s="10" t="n">
        <f aca="false">B9*Parametros!B41*Parametros!B42</f>
        <v>75000</v>
      </c>
      <c r="C18" s="10" t="n">
        <f aca="false">C9*Parametros!B41*Parametros!B42</f>
        <v>120000</v>
      </c>
      <c r="D18" s="10" t="n">
        <f aca="false">D9*Parametros!B41*Parametros!B42</f>
        <v>180000</v>
      </c>
      <c r="E18" s="10" t="n">
        <f aca="false">E9*Parametros!B41*Parametros!B42</f>
        <v>240000</v>
      </c>
      <c r="F18" s="10" t="n">
        <f aca="false">F9*Parametros!B41*Parametros!B42</f>
        <v>300000</v>
      </c>
      <c r="G18" s="10" t="n">
        <f aca="false">G9*Parametros!B41*Parametros!B42</f>
        <v>375000</v>
      </c>
      <c r="H18" s="12" t="n">
        <f aca="false">SUM(B18:G18)</f>
        <v>1290000</v>
      </c>
    </row>
    <row r="19" customFormat="false" ht="15" hidden="false" customHeight="false" outlineLevel="0" collapsed="false">
      <c r="A19" s="16" t="s">
        <v>93</v>
      </c>
      <c r="B19" s="17" t="n">
        <f aca="false">SUM(B14:B18)</f>
        <v>689700</v>
      </c>
      <c r="C19" s="17" t="n">
        <f aca="false">SUM(C14:C18)</f>
        <v>2267400</v>
      </c>
      <c r="D19" s="17" t="n">
        <f aca="false">SUM(D14:D18)</f>
        <v>3401100</v>
      </c>
      <c r="E19" s="17" t="n">
        <f aca="false">SUM(E14:E18)</f>
        <v>4176900</v>
      </c>
      <c r="F19" s="17" t="n">
        <f aca="false">SUM(F14:F18)</f>
        <v>4952700</v>
      </c>
      <c r="G19" s="17" t="n">
        <f aca="false">SUM(G14:G18)</f>
        <v>5743500</v>
      </c>
      <c r="H19" s="17" t="n">
        <f aca="false">SUM(B19:G19)</f>
        <v>21231300</v>
      </c>
    </row>
    <row r="21" customFormat="false" ht="15" hidden="false" customHeight="false" outlineLevel="0" collapsed="false">
      <c r="A21" s="3" t="s">
        <v>94</v>
      </c>
    </row>
    <row r="22" customFormat="false" ht="15" hidden="false" customHeight="false" outlineLevel="0" collapsed="false">
      <c r="A22" s="5" t="s">
        <v>95</v>
      </c>
      <c r="B22" s="10" t="n">
        <f aca="false">B11*Parametros!B32*Parametros!B31</f>
        <v>135000</v>
      </c>
      <c r="C22" s="10" t="n">
        <f aca="false">C11*Parametros!B32*Parametros!B31</f>
        <v>270000</v>
      </c>
      <c r="D22" s="10" t="n">
        <f aca="false">D11*Parametros!B32*Parametros!B31</f>
        <v>405000</v>
      </c>
      <c r="E22" s="10" t="n">
        <f aca="false">E11*Parametros!B32*Parametros!B31</f>
        <v>495000</v>
      </c>
      <c r="F22" s="10" t="n">
        <f aca="false">F11*Parametros!B32*Parametros!B31</f>
        <v>585000</v>
      </c>
      <c r="G22" s="10" t="n">
        <f aca="false">G11*Parametros!B32*Parametros!B31</f>
        <v>675000</v>
      </c>
      <c r="H22" s="12" t="n">
        <f aca="false">SUM(B22:G22)</f>
        <v>2565000</v>
      </c>
    </row>
    <row r="23" customFormat="false" ht="15" hidden="false" customHeight="false" outlineLevel="0" collapsed="false">
      <c r="A23" s="5" t="s">
        <v>64</v>
      </c>
      <c r="B23" s="10" t="n">
        <f aca="false">Parametros!B39</f>
        <v>440641</v>
      </c>
      <c r="C23" s="10" t="n">
        <f aca="false">Parametros!B39</f>
        <v>440641</v>
      </c>
      <c r="D23" s="10" t="n">
        <f aca="false">Parametros!B39</f>
        <v>440641</v>
      </c>
      <c r="E23" s="10" t="n">
        <f aca="false">Parametros!B39</f>
        <v>440641</v>
      </c>
      <c r="F23" s="10" t="n">
        <f aca="false">Parametros!B39</f>
        <v>440641</v>
      </c>
      <c r="G23" s="10" t="n">
        <f aca="false">Parametros!B39</f>
        <v>440641</v>
      </c>
      <c r="H23" s="12" t="n">
        <f aca="false">SUM(B23:G23)</f>
        <v>2643846</v>
      </c>
    </row>
    <row r="24" customFormat="false" ht="15" hidden="false" customHeight="false" outlineLevel="0" collapsed="false">
      <c r="A24" s="5" t="s">
        <v>96</v>
      </c>
      <c r="B24" s="10" t="n">
        <f aca="false">B11*0.01</f>
        <v>67500</v>
      </c>
      <c r="C24" s="10" t="n">
        <f aca="false">C11*0.01</f>
        <v>135000</v>
      </c>
      <c r="D24" s="10" t="n">
        <f aca="false">D11*0.01</f>
        <v>202500</v>
      </c>
      <c r="E24" s="10" t="n">
        <f aca="false">E11*0.01</f>
        <v>247500</v>
      </c>
      <c r="F24" s="10" t="n">
        <f aca="false">F11*0.01</f>
        <v>292500</v>
      </c>
      <c r="G24" s="10" t="n">
        <f aca="false">G11*0.01</f>
        <v>337500</v>
      </c>
      <c r="H24" s="12" t="n">
        <f aca="false">SUM(B24:G24)</f>
        <v>1282500</v>
      </c>
    </row>
    <row r="25" customFormat="false" ht="15" hidden="false" customHeight="false" outlineLevel="0" collapsed="false">
      <c r="A25" s="5" t="s">
        <v>97</v>
      </c>
      <c r="B25" s="10" t="n">
        <f aca="false">B11*0.02</f>
        <v>135000</v>
      </c>
      <c r="C25" s="10" t="n">
        <f aca="false">C11*0.02</f>
        <v>270000</v>
      </c>
      <c r="D25" s="10" t="n">
        <f aca="false">D11*0.02</f>
        <v>405000</v>
      </c>
      <c r="E25" s="10" t="n">
        <f aca="false">E11*0.02</f>
        <v>495000</v>
      </c>
      <c r="F25" s="10" t="n">
        <f aca="false">F11*0.02</f>
        <v>585000</v>
      </c>
      <c r="G25" s="10" t="n">
        <f aca="false">G11*0.02</f>
        <v>675000</v>
      </c>
      <c r="H25" s="12" t="n">
        <f aca="false">SUM(B25:G25)</f>
        <v>2565000</v>
      </c>
    </row>
    <row r="26" customFormat="false" ht="15" hidden="false" customHeight="false" outlineLevel="0" collapsed="false">
      <c r="A26" s="18" t="s">
        <v>98</v>
      </c>
      <c r="B26" s="19" t="n">
        <f aca="false">SUM(B22:B25)</f>
        <v>778141</v>
      </c>
      <c r="C26" s="19" t="n">
        <f aca="false">SUM(C22:C25)</f>
        <v>1115641</v>
      </c>
      <c r="D26" s="19" t="n">
        <f aca="false">SUM(D22:D25)</f>
        <v>1453141</v>
      </c>
      <c r="E26" s="19" t="n">
        <f aca="false">SUM(E22:E25)</f>
        <v>1678141</v>
      </c>
      <c r="F26" s="19" t="n">
        <f aca="false">SUM(F22:F25)</f>
        <v>1903141</v>
      </c>
      <c r="G26" s="19" t="n">
        <f aca="false">SUM(G22:G25)</f>
        <v>2128141</v>
      </c>
      <c r="H26" s="19" t="n">
        <f aca="false">SUM(B26:G26)</f>
        <v>9056346</v>
      </c>
    </row>
    <row r="28" customFormat="false" ht="15" hidden="false" customHeight="false" outlineLevel="0" collapsed="false">
      <c r="A28" s="3" t="s">
        <v>99</v>
      </c>
    </row>
    <row r="29" customFormat="false" ht="15" hidden="false" customHeight="false" outlineLevel="0" collapsed="false">
      <c r="A29" s="5" t="s">
        <v>100</v>
      </c>
      <c r="B29" s="20" t="n">
        <f aca="false">B19-B26</f>
        <v>-88441</v>
      </c>
      <c r="C29" s="20" t="n">
        <f aca="false">C19-C26</f>
        <v>1151759</v>
      </c>
      <c r="D29" s="20" t="n">
        <f aca="false">D19-D26</f>
        <v>1947959</v>
      </c>
      <c r="E29" s="20" t="n">
        <f aca="false">E19-E26</f>
        <v>2498759</v>
      </c>
      <c r="F29" s="20" t="n">
        <f aca="false">F19-F26</f>
        <v>3049559</v>
      </c>
      <c r="G29" s="20" t="n">
        <f aca="false">G19-G26</f>
        <v>3615359</v>
      </c>
      <c r="H29" s="20" t="n">
        <f aca="false">SUM(B29:G29)</f>
        <v>12174954</v>
      </c>
    </row>
    <row r="30" customFormat="false" ht="15" hidden="false" customHeight="false" outlineLevel="0" collapsed="false">
      <c r="A30" s="5" t="s">
        <v>101</v>
      </c>
      <c r="B30" s="10" t="n">
        <f aca="false">IF(B29&gt;0,B29*Parametros!B40,0)</f>
        <v>0</v>
      </c>
      <c r="C30" s="10" t="n">
        <f aca="false">IF(C29&gt;0,C29*Parametros!B40,0)</f>
        <v>115175.9</v>
      </c>
      <c r="D30" s="10" t="n">
        <f aca="false">IF(D29&gt;0,D29*Parametros!B40,0)</f>
        <v>194795.9</v>
      </c>
      <c r="E30" s="10" t="n">
        <f aca="false">IF(E29&gt;0,E29*Parametros!B40,0)</f>
        <v>249875.9</v>
      </c>
      <c r="F30" s="10" t="n">
        <f aca="false">IF(F29&gt;0,F29*Parametros!B40,0)</f>
        <v>304955.9</v>
      </c>
      <c r="G30" s="10" t="n">
        <f aca="false">IF(G29&gt;0,G29*Parametros!B40,0)</f>
        <v>361535.9</v>
      </c>
      <c r="H30" s="12" t="n">
        <f aca="false">SUM(B30:G30)</f>
        <v>1226339.5</v>
      </c>
    </row>
    <row r="31" customFormat="false" ht="15" hidden="false" customHeight="false" outlineLevel="0" collapsed="false">
      <c r="A31" s="16" t="s">
        <v>102</v>
      </c>
      <c r="B31" s="21" t="n">
        <f aca="false">B29-B30</f>
        <v>-88441</v>
      </c>
      <c r="C31" s="21" t="n">
        <f aca="false">C29-C30</f>
        <v>1036583.1</v>
      </c>
      <c r="D31" s="21" t="n">
        <f aca="false">D29-D30</f>
        <v>1753163.1</v>
      </c>
      <c r="E31" s="21" t="n">
        <f aca="false">E29-E30</f>
        <v>2248883.1</v>
      </c>
      <c r="F31" s="21" t="n">
        <f aca="false">F29-F30</f>
        <v>2744603.1</v>
      </c>
      <c r="G31" s="21" t="n">
        <f aca="false">G29-G30</f>
        <v>3253823.1</v>
      </c>
      <c r="H31" s="21" t="n">
        <f aca="false">SUM(B31:G31)</f>
        <v>10948614.5</v>
      </c>
    </row>
    <row r="32" customFormat="false" ht="15" hidden="false" customHeight="false" outlineLevel="0" collapsed="false">
      <c r="A32" s="16" t="s">
        <v>103</v>
      </c>
      <c r="B32" s="21" t="n">
        <f aca="false">B31</f>
        <v>-88441</v>
      </c>
      <c r="C32" s="21" t="n">
        <f aca="false">B32+C31</f>
        <v>948142.1</v>
      </c>
      <c r="D32" s="21" t="n">
        <f aca="false">C32+D31</f>
        <v>2701305.2</v>
      </c>
      <c r="E32" s="21" t="n">
        <f aca="false">D32+E31</f>
        <v>4950188.3</v>
      </c>
      <c r="F32" s="21" t="n">
        <f aca="false">E32+F31</f>
        <v>7694791.4</v>
      </c>
      <c r="G32" s="21" t="n">
        <f aca="false">F32+G31</f>
        <v>10948614.5</v>
      </c>
      <c r="H32" s="13"/>
    </row>
    <row r="34" customFormat="false" ht="15" hidden="false" customHeight="false" outlineLevel="0" collapsed="false">
      <c r="A34" s="3" t="s">
        <v>104</v>
      </c>
    </row>
    <row r="35" customFormat="false" ht="15" hidden="false" customHeight="false" outlineLevel="0" collapsed="false">
      <c r="A35" s="5" t="s">
        <v>105</v>
      </c>
      <c r="B35" s="22" t="n">
        <f aca="false">IF(B19=0,0,B29/B19)</f>
        <v>-0.128231114977526</v>
      </c>
      <c r="C35" s="22" t="n">
        <f aca="false">IF(C19=0,0,C29/C19)</f>
        <v>0.507964629090588</v>
      </c>
      <c r="D35" s="22" t="n">
        <f aca="false">IF(D19=0,0,D29/D19)</f>
        <v>0.572743818176472</v>
      </c>
      <c r="E35" s="22" t="n">
        <f aca="false">IF(E19=0,0,E29/E19)</f>
        <v>0.598232899997606</v>
      </c>
      <c r="F35" s="22" t="n">
        <f aca="false">IF(F19=0,0,F29/F19)</f>
        <v>0.615736668887677</v>
      </c>
      <c r="G35" s="22" t="n">
        <f aca="false">IF(G19=0,0,G29/G19)</f>
        <v>0.629469661356316</v>
      </c>
      <c r="H35" s="13"/>
    </row>
    <row r="36" customFormat="false" ht="15" hidden="false" customHeight="false" outlineLevel="0" collapsed="false">
      <c r="A36" s="5" t="s">
        <v>106</v>
      </c>
      <c r="B36" s="10" t="n">
        <f aca="false">IF(B8=0,0,B19/B8)</f>
        <v>1532.66666666667</v>
      </c>
      <c r="C36" s="10" t="n">
        <f aca="false">IF(C8=0,0,C19/C8)</f>
        <v>2519.33333333333</v>
      </c>
      <c r="D36" s="10" t="n">
        <f aca="false">IF(D8=0,0,D19/D8)</f>
        <v>2519.33333333333</v>
      </c>
      <c r="E36" s="10" t="n">
        <f aca="false">IF(E8=0,0,E19/E8)</f>
        <v>2531.45454545455</v>
      </c>
      <c r="F36" s="10" t="n">
        <f aca="false">IF(F8=0,0,F19/F8)</f>
        <v>2539.84615384615</v>
      </c>
      <c r="G36" s="10" t="n">
        <f aca="false">IF(G8=0,0,G19/G8)</f>
        <v>2552.66666666667</v>
      </c>
      <c r="H36" s="13"/>
    </row>
    <row r="37" customFormat="false" ht="15" hidden="false" customHeight="false" outlineLevel="0" collapsed="false">
      <c r="A37" s="5" t="s">
        <v>107</v>
      </c>
      <c r="B37" s="10" t="n">
        <f aca="false">B11/30</f>
        <v>225000</v>
      </c>
      <c r="C37" s="10" t="n">
        <f aca="false">C11/30</f>
        <v>450000</v>
      </c>
      <c r="D37" s="10" t="n">
        <f aca="false">D11/30</f>
        <v>675000</v>
      </c>
      <c r="E37" s="10" t="n">
        <f aca="false">E11/30</f>
        <v>825000</v>
      </c>
      <c r="F37" s="10" t="n">
        <f aca="false">F11/30</f>
        <v>975000</v>
      </c>
      <c r="G37" s="10" t="n">
        <f aca="false">G11/30</f>
        <v>1125000</v>
      </c>
      <c r="H37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8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9"/>
      <c r="B4" s="9" t="s">
        <v>74</v>
      </c>
      <c r="C4" s="9" t="s">
        <v>75</v>
      </c>
      <c r="D4" s="9" t="s">
        <v>76</v>
      </c>
      <c r="E4" s="9" t="s">
        <v>77</v>
      </c>
      <c r="F4" s="9" t="s">
        <v>78</v>
      </c>
      <c r="G4" s="9" t="s">
        <v>79</v>
      </c>
      <c r="H4" s="9" t="s">
        <v>80</v>
      </c>
    </row>
    <row r="6" customFormat="false" ht="15" hidden="false" customHeight="false" outlineLevel="0" collapsed="false">
      <c r="A6" s="3" t="s">
        <v>81</v>
      </c>
    </row>
    <row r="7" customFormat="false" ht="15" hidden="false" customHeight="false" outlineLevel="0" collapsed="false">
      <c r="A7" s="5" t="s">
        <v>82</v>
      </c>
      <c r="B7" s="10" t="n">
        <f aca="false">Parametros!C7</f>
        <v>25</v>
      </c>
      <c r="C7" s="10" t="n">
        <f aca="false">Parametros!C8</f>
        <v>50</v>
      </c>
      <c r="D7" s="10" t="n">
        <f aca="false">Parametros!C9</f>
        <v>70</v>
      </c>
      <c r="E7" s="10" t="n">
        <f aca="false">Parametros!C10</f>
        <v>85</v>
      </c>
      <c r="F7" s="10" t="n">
        <f aca="false">Parametros!C11</f>
        <v>100</v>
      </c>
      <c r="G7" s="10" t="n">
        <f aca="false">Parametros!C12</f>
        <v>120</v>
      </c>
      <c r="H7" s="11" t="n">
        <f aca="false">AVERAGE(B7:G7)</f>
        <v>75</v>
      </c>
    </row>
    <row r="8" customFormat="false" ht="15" hidden="false" customHeight="false" outlineLevel="0" collapsed="false">
      <c r="A8" s="5" t="s">
        <v>83</v>
      </c>
      <c r="B8" s="10" t="n">
        <f aca="false">B7*30</f>
        <v>750</v>
      </c>
      <c r="C8" s="10" t="n">
        <f aca="false">C7*30</f>
        <v>1500</v>
      </c>
      <c r="D8" s="10" t="n">
        <f aca="false">D7*30</f>
        <v>2100</v>
      </c>
      <c r="E8" s="10" t="n">
        <f aca="false">E7*30</f>
        <v>2550</v>
      </c>
      <c r="F8" s="10" t="n">
        <f aca="false">F7*30</f>
        <v>3000</v>
      </c>
      <c r="G8" s="10" t="n">
        <f aca="false">G7*30</f>
        <v>3600</v>
      </c>
      <c r="H8" s="12" t="n">
        <f aca="false">SUM(B8:G8)</f>
        <v>13500</v>
      </c>
    </row>
    <row r="9" customFormat="false" ht="15" hidden="false" customHeight="false" outlineLevel="0" collapsed="false">
      <c r="A9" s="5" t="s">
        <v>84</v>
      </c>
      <c r="B9" s="10" t="n">
        <f aca="false">Parametros!C13</f>
        <v>8</v>
      </c>
      <c r="C9" s="10" t="n">
        <f aca="false">Parametros!C14</f>
        <v>15</v>
      </c>
      <c r="D9" s="10" t="n">
        <f aca="false">Parametros!C15</f>
        <v>22</v>
      </c>
      <c r="E9" s="10" t="n">
        <f aca="false">Parametros!C16</f>
        <v>28</v>
      </c>
      <c r="F9" s="10" t="n">
        <f aca="false">Parametros!C17</f>
        <v>35</v>
      </c>
      <c r="G9" s="10" t="n">
        <f aca="false">Parametros!C18</f>
        <v>42</v>
      </c>
      <c r="H9" s="10" t="n">
        <f aca="false">MAX(B9:G9)</f>
        <v>42</v>
      </c>
    </row>
    <row r="10" customFormat="false" ht="15" hidden="false" customHeight="false" outlineLevel="0" collapsed="false">
      <c r="A10" s="5" t="s">
        <v>85</v>
      </c>
      <c r="B10" s="10" t="n">
        <f aca="false">Parametros!C6</f>
        <v>20000</v>
      </c>
      <c r="C10" s="10" t="n">
        <f aca="false">Parametros!C6</f>
        <v>20000</v>
      </c>
      <c r="D10" s="10" t="n">
        <f aca="false">Parametros!C6</f>
        <v>20000</v>
      </c>
      <c r="E10" s="10" t="n">
        <f aca="false">Parametros!C6</f>
        <v>20000</v>
      </c>
      <c r="F10" s="10" t="n">
        <f aca="false">Parametros!C6</f>
        <v>20000</v>
      </c>
      <c r="G10" s="10" t="n">
        <f aca="false">Parametros!C6</f>
        <v>20000</v>
      </c>
      <c r="H10" s="13"/>
    </row>
    <row r="11" customFormat="false" ht="15" hidden="false" customHeight="false" outlineLevel="0" collapsed="false">
      <c r="A11" s="14" t="s">
        <v>86</v>
      </c>
      <c r="B11" s="15" t="n">
        <f aca="false">B8*B10</f>
        <v>15000000</v>
      </c>
      <c r="C11" s="15" t="n">
        <f aca="false">C8*C10</f>
        <v>30000000</v>
      </c>
      <c r="D11" s="15" t="n">
        <f aca="false">D8*D10</f>
        <v>42000000</v>
      </c>
      <c r="E11" s="15" t="n">
        <f aca="false">E8*E10</f>
        <v>51000000</v>
      </c>
      <c r="F11" s="15" t="n">
        <f aca="false">F8*F10</f>
        <v>60000000</v>
      </c>
      <c r="G11" s="15" t="n">
        <f aca="false">G8*G10</f>
        <v>72000000</v>
      </c>
      <c r="H11" s="15" t="n">
        <f aca="false">SUM(B11:G11)</f>
        <v>270000000</v>
      </c>
    </row>
    <row r="13" customFormat="false" ht="15" hidden="false" customHeight="false" outlineLevel="0" collapsed="false">
      <c r="A13" s="3" t="s">
        <v>87</v>
      </c>
    </row>
    <row r="14" customFormat="false" ht="15" hidden="false" customHeight="false" outlineLevel="0" collapsed="false">
      <c r="A14" s="5" t="s">
        <v>88</v>
      </c>
      <c r="B14" s="10" t="n">
        <f aca="false">B11*(1-Parametros!C19)*Parametros!B27</f>
        <v>0</v>
      </c>
      <c r="C14" s="10" t="n">
        <f aca="false">C11*(1-Parametros!C19)*Parametros!B28</f>
        <v>1920000</v>
      </c>
      <c r="D14" s="10" t="n">
        <f aca="false">D11*(1-Parametros!C19)*Parametros!B28</f>
        <v>2688000</v>
      </c>
      <c r="E14" s="10" t="n">
        <f aca="false">E11*(1-Parametros!C19)*Parametros!B28</f>
        <v>3264000</v>
      </c>
      <c r="F14" s="10" t="n">
        <f aca="false">F11*(1-Parametros!C19)*Parametros!B28</f>
        <v>3840000</v>
      </c>
      <c r="G14" s="10" t="n">
        <f aca="false">G11*(1-Parametros!C19)*Parametros!B28</f>
        <v>4608000</v>
      </c>
      <c r="H14" s="12" t="n">
        <f aca="false">SUM(B14:G14)</f>
        <v>16320000</v>
      </c>
    </row>
    <row r="15" customFormat="false" ht="15" hidden="false" customHeight="false" outlineLevel="0" collapsed="false">
      <c r="A15" s="5" t="s">
        <v>89</v>
      </c>
      <c r="B15" s="10" t="n">
        <f aca="false">B11*Parametros!C19*Parametros!B29</f>
        <v>360000</v>
      </c>
      <c r="C15" s="10" t="n">
        <f aca="false">C11*Parametros!C19*Parametros!B29</f>
        <v>720000</v>
      </c>
      <c r="D15" s="10" t="n">
        <f aca="false">D11*Parametros!C19*Parametros!B29</f>
        <v>1008000</v>
      </c>
      <c r="E15" s="10" t="n">
        <f aca="false">E11*Parametros!C19*Parametros!B29</f>
        <v>1224000</v>
      </c>
      <c r="F15" s="10" t="n">
        <f aca="false">F11*Parametros!C19*Parametros!B29</f>
        <v>1440000</v>
      </c>
      <c r="G15" s="10" t="n">
        <f aca="false">G11*Parametros!C19*Parametros!B29</f>
        <v>1728000</v>
      </c>
      <c r="H15" s="12" t="n">
        <f aca="false">SUM(B15:G15)</f>
        <v>6480000</v>
      </c>
    </row>
    <row r="16" customFormat="false" ht="15" hidden="false" customHeight="false" outlineLevel="0" collapsed="false">
      <c r="A16" s="5" t="s">
        <v>90</v>
      </c>
      <c r="B16" s="10" t="n">
        <f aca="false">B8*(Parametros!C21*Parametros!B34+Parametros!C22*Parametros!B35+Parametros!C23*Parametros!B36)*(1-Parametros!B33)</f>
        <v>259500</v>
      </c>
      <c r="C16" s="10" t="n">
        <f aca="false">C8*(Parametros!C21*Parametros!B34+Parametros!C22*Parametros!B35+Parametros!C23*Parametros!B36)*(1-Parametros!B33)</f>
        <v>519000</v>
      </c>
      <c r="D16" s="10" t="n">
        <f aca="false">D8*(Parametros!C21*Parametros!B34+Parametros!C22*Parametros!B35+Parametros!C23*Parametros!B36)*(1-Parametros!B33)</f>
        <v>726600</v>
      </c>
      <c r="E16" s="10" t="n">
        <f aca="false">E8*(Parametros!C21*Parametros!B34+Parametros!C22*Parametros!B35+Parametros!C23*Parametros!B36)*(1-Parametros!B33)</f>
        <v>882300</v>
      </c>
      <c r="F16" s="10" t="n">
        <f aca="false">F8*(Parametros!C21*Parametros!B34+Parametros!C22*Parametros!B35+Parametros!C23*Parametros!B36)*(1-Parametros!B33)</f>
        <v>1038000</v>
      </c>
      <c r="G16" s="10" t="n">
        <f aca="false">G8*(Parametros!C21*Parametros!B34+Parametros!C22*Parametros!B35+Parametros!C23*Parametros!B36)*(1-Parametros!B33)</f>
        <v>1245600</v>
      </c>
      <c r="H16" s="12" t="n">
        <f aca="false">SUM(B16:G16)</f>
        <v>4671000</v>
      </c>
    </row>
    <row r="17" customFormat="false" ht="15" hidden="false" customHeight="false" outlineLevel="0" collapsed="false">
      <c r="A17" s="5" t="s">
        <v>91</v>
      </c>
      <c r="B17" s="10" t="n">
        <f aca="false">B11*Parametros!B30</f>
        <v>750000</v>
      </c>
      <c r="C17" s="10" t="n">
        <f aca="false">C11*Parametros!B30</f>
        <v>1500000</v>
      </c>
      <c r="D17" s="10" t="n">
        <f aca="false">D11*Parametros!B30</f>
        <v>2100000</v>
      </c>
      <c r="E17" s="10" t="n">
        <f aca="false">E11*Parametros!B30</f>
        <v>2550000</v>
      </c>
      <c r="F17" s="10" t="n">
        <f aca="false">F11*Parametros!B30</f>
        <v>3000000</v>
      </c>
      <c r="G17" s="10" t="n">
        <f aca="false">G11*Parametros!B30</f>
        <v>3600000</v>
      </c>
      <c r="H17" s="12" t="n">
        <f aca="false">SUM(B17:G17)</f>
        <v>13500000</v>
      </c>
    </row>
    <row r="18" customFormat="false" ht="15" hidden="false" customHeight="false" outlineLevel="0" collapsed="false">
      <c r="A18" s="5" t="s">
        <v>92</v>
      </c>
      <c r="B18" s="10" t="n">
        <f aca="false">B9*Parametros!B41*Parametros!B42</f>
        <v>120000</v>
      </c>
      <c r="C18" s="10" t="n">
        <f aca="false">C9*Parametros!B41*Parametros!B42</f>
        <v>225000</v>
      </c>
      <c r="D18" s="10" t="n">
        <f aca="false">D9*Parametros!B41*Parametros!B42</f>
        <v>330000</v>
      </c>
      <c r="E18" s="10" t="n">
        <f aca="false">E9*Parametros!B41*Parametros!B42</f>
        <v>420000</v>
      </c>
      <c r="F18" s="10" t="n">
        <f aca="false">F9*Parametros!B41*Parametros!B42</f>
        <v>525000</v>
      </c>
      <c r="G18" s="10" t="n">
        <f aca="false">G9*Parametros!B41*Parametros!B42</f>
        <v>630000</v>
      </c>
      <c r="H18" s="12" t="n">
        <f aca="false">SUM(B18:G18)</f>
        <v>2250000</v>
      </c>
    </row>
    <row r="19" customFormat="false" ht="15" hidden="false" customHeight="false" outlineLevel="0" collapsed="false">
      <c r="A19" s="16" t="s">
        <v>93</v>
      </c>
      <c r="B19" s="17" t="n">
        <f aca="false">SUM(B14:B18)</f>
        <v>1489500</v>
      </c>
      <c r="C19" s="17" t="n">
        <f aca="false">SUM(C14:C18)</f>
        <v>4884000</v>
      </c>
      <c r="D19" s="17" t="n">
        <f aca="false">SUM(D14:D18)</f>
        <v>6852600</v>
      </c>
      <c r="E19" s="17" t="n">
        <f aca="false">SUM(E14:E18)</f>
        <v>8340300</v>
      </c>
      <c r="F19" s="17" t="n">
        <f aca="false">SUM(F14:F18)</f>
        <v>9843000</v>
      </c>
      <c r="G19" s="17" t="n">
        <f aca="false">SUM(G14:G18)</f>
        <v>11811600</v>
      </c>
      <c r="H19" s="17" t="n">
        <f aca="false">SUM(B19:G19)</f>
        <v>43221000</v>
      </c>
    </row>
    <row r="21" customFormat="false" ht="15" hidden="false" customHeight="false" outlineLevel="0" collapsed="false">
      <c r="A21" s="3" t="s">
        <v>94</v>
      </c>
    </row>
    <row r="22" customFormat="false" ht="15" hidden="false" customHeight="false" outlineLevel="0" collapsed="false">
      <c r="A22" s="5" t="s">
        <v>95</v>
      </c>
      <c r="B22" s="10" t="n">
        <f aca="false">B11*Parametros!B32*Parametros!B31</f>
        <v>300000</v>
      </c>
      <c r="C22" s="10" t="n">
        <f aca="false">C11*Parametros!B32*Parametros!B31</f>
        <v>600000</v>
      </c>
      <c r="D22" s="10" t="n">
        <f aca="false">D11*Parametros!B32*Parametros!B31</f>
        <v>840000</v>
      </c>
      <c r="E22" s="10" t="n">
        <f aca="false">E11*Parametros!B32*Parametros!B31</f>
        <v>1020000</v>
      </c>
      <c r="F22" s="10" t="n">
        <f aca="false">F11*Parametros!B32*Parametros!B31</f>
        <v>1200000</v>
      </c>
      <c r="G22" s="10" t="n">
        <f aca="false">G11*Parametros!B32*Parametros!B31</f>
        <v>1440000</v>
      </c>
      <c r="H22" s="12" t="n">
        <f aca="false">SUM(B22:G22)</f>
        <v>5400000</v>
      </c>
    </row>
    <row r="23" customFormat="false" ht="15" hidden="false" customHeight="false" outlineLevel="0" collapsed="false">
      <c r="A23" s="5" t="s">
        <v>64</v>
      </c>
      <c r="B23" s="10" t="n">
        <f aca="false">Parametros!B39</f>
        <v>440641</v>
      </c>
      <c r="C23" s="10" t="n">
        <f aca="false">Parametros!B39</f>
        <v>440641</v>
      </c>
      <c r="D23" s="10" t="n">
        <f aca="false">Parametros!B39</f>
        <v>440641</v>
      </c>
      <c r="E23" s="10" t="n">
        <f aca="false">Parametros!B39</f>
        <v>440641</v>
      </c>
      <c r="F23" s="10" t="n">
        <f aca="false">Parametros!B39</f>
        <v>440641</v>
      </c>
      <c r="G23" s="10" t="n">
        <f aca="false">Parametros!B39</f>
        <v>440641</v>
      </c>
      <c r="H23" s="12" t="n">
        <f aca="false">SUM(B23:G23)</f>
        <v>2643846</v>
      </c>
    </row>
    <row r="24" customFormat="false" ht="15" hidden="false" customHeight="false" outlineLevel="0" collapsed="false">
      <c r="A24" s="5" t="s">
        <v>96</v>
      </c>
      <c r="B24" s="10" t="n">
        <f aca="false">B11*0.01</f>
        <v>150000</v>
      </c>
      <c r="C24" s="10" t="n">
        <f aca="false">C11*0.01</f>
        <v>300000</v>
      </c>
      <c r="D24" s="10" t="n">
        <f aca="false">D11*0.01</f>
        <v>420000</v>
      </c>
      <c r="E24" s="10" t="n">
        <f aca="false">E11*0.01</f>
        <v>510000</v>
      </c>
      <c r="F24" s="10" t="n">
        <f aca="false">F11*0.01</f>
        <v>600000</v>
      </c>
      <c r="G24" s="10" t="n">
        <f aca="false">G11*0.01</f>
        <v>720000</v>
      </c>
      <c r="H24" s="12" t="n">
        <f aca="false">SUM(B24:G24)</f>
        <v>2700000</v>
      </c>
    </row>
    <row r="25" customFormat="false" ht="15" hidden="false" customHeight="false" outlineLevel="0" collapsed="false">
      <c r="A25" s="5" t="s">
        <v>97</v>
      </c>
      <c r="B25" s="10" t="n">
        <f aca="false">B11*0.02</f>
        <v>300000</v>
      </c>
      <c r="C25" s="10" t="n">
        <f aca="false">C11*0.02</f>
        <v>600000</v>
      </c>
      <c r="D25" s="10" t="n">
        <f aca="false">D11*0.02</f>
        <v>840000</v>
      </c>
      <c r="E25" s="10" t="n">
        <f aca="false">E11*0.02</f>
        <v>1020000</v>
      </c>
      <c r="F25" s="10" t="n">
        <f aca="false">F11*0.02</f>
        <v>1200000</v>
      </c>
      <c r="G25" s="10" t="n">
        <f aca="false">G11*0.02</f>
        <v>1440000</v>
      </c>
      <c r="H25" s="12" t="n">
        <f aca="false">SUM(B25:G25)</f>
        <v>5400000</v>
      </c>
    </row>
    <row r="26" customFormat="false" ht="15" hidden="false" customHeight="false" outlineLevel="0" collapsed="false">
      <c r="A26" s="18" t="s">
        <v>98</v>
      </c>
      <c r="B26" s="19" t="n">
        <f aca="false">SUM(B22:B25)</f>
        <v>1190641</v>
      </c>
      <c r="C26" s="19" t="n">
        <f aca="false">SUM(C22:C25)</f>
        <v>1940641</v>
      </c>
      <c r="D26" s="19" t="n">
        <f aca="false">SUM(D22:D25)</f>
        <v>2540641</v>
      </c>
      <c r="E26" s="19" t="n">
        <f aca="false">SUM(E22:E25)</f>
        <v>2990641</v>
      </c>
      <c r="F26" s="19" t="n">
        <f aca="false">SUM(F22:F25)</f>
        <v>3440641</v>
      </c>
      <c r="G26" s="19" t="n">
        <f aca="false">SUM(G22:G25)</f>
        <v>4040641</v>
      </c>
      <c r="H26" s="19" t="n">
        <f aca="false">SUM(B26:G26)</f>
        <v>16143846</v>
      </c>
    </row>
    <row r="28" customFormat="false" ht="15" hidden="false" customHeight="false" outlineLevel="0" collapsed="false">
      <c r="A28" s="3" t="s">
        <v>99</v>
      </c>
    </row>
    <row r="29" customFormat="false" ht="15" hidden="false" customHeight="false" outlineLevel="0" collapsed="false">
      <c r="A29" s="5" t="s">
        <v>100</v>
      </c>
      <c r="B29" s="20" t="n">
        <f aca="false">B19-B26</f>
        <v>298859</v>
      </c>
      <c r="C29" s="20" t="n">
        <f aca="false">C19-C26</f>
        <v>2943359</v>
      </c>
      <c r="D29" s="20" t="n">
        <f aca="false">D19-D26</f>
        <v>4311959</v>
      </c>
      <c r="E29" s="20" t="n">
        <f aca="false">E19-E26</f>
        <v>5349659</v>
      </c>
      <c r="F29" s="20" t="n">
        <f aca="false">F19-F26</f>
        <v>6402359</v>
      </c>
      <c r="G29" s="20" t="n">
        <f aca="false">G19-G26</f>
        <v>7770959</v>
      </c>
      <c r="H29" s="20" t="n">
        <f aca="false">SUM(B29:G29)</f>
        <v>27077154</v>
      </c>
    </row>
    <row r="30" customFormat="false" ht="15" hidden="false" customHeight="false" outlineLevel="0" collapsed="false">
      <c r="A30" s="5" t="s">
        <v>101</v>
      </c>
      <c r="B30" s="10" t="n">
        <f aca="false">IF(B29&gt;0,B29*Parametros!B40,0)</f>
        <v>29885.9</v>
      </c>
      <c r="C30" s="10" t="n">
        <f aca="false">IF(C29&gt;0,C29*Parametros!B40,0)</f>
        <v>294335.9</v>
      </c>
      <c r="D30" s="10" t="n">
        <f aca="false">IF(D29&gt;0,D29*Parametros!B40,0)</f>
        <v>431195.9</v>
      </c>
      <c r="E30" s="10" t="n">
        <f aca="false">IF(E29&gt;0,E29*Parametros!B40,0)</f>
        <v>534965.9</v>
      </c>
      <c r="F30" s="10" t="n">
        <f aca="false">IF(F29&gt;0,F29*Parametros!B40,0)</f>
        <v>640235.9</v>
      </c>
      <c r="G30" s="10" t="n">
        <f aca="false">IF(G29&gt;0,G29*Parametros!B40,0)</f>
        <v>777095.9</v>
      </c>
      <c r="H30" s="12" t="n">
        <f aca="false">SUM(B30:G30)</f>
        <v>2707715.4</v>
      </c>
    </row>
    <row r="31" customFormat="false" ht="15" hidden="false" customHeight="false" outlineLevel="0" collapsed="false">
      <c r="A31" s="16" t="s">
        <v>102</v>
      </c>
      <c r="B31" s="21" t="n">
        <f aca="false">B29-B30</f>
        <v>268973.1</v>
      </c>
      <c r="C31" s="21" t="n">
        <f aca="false">C29-C30</f>
        <v>2649023.1</v>
      </c>
      <c r="D31" s="21" t="n">
        <f aca="false">D29-D30</f>
        <v>3880763.1</v>
      </c>
      <c r="E31" s="21" t="n">
        <f aca="false">E29-E30</f>
        <v>4814693.1</v>
      </c>
      <c r="F31" s="21" t="n">
        <f aca="false">F29-F30</f>
        <v>5762123.1</v>
      </c>
      <c r="G31" s="21" t="n">
        <f aca="false">G29-G30</f>
        <v>6993863.1</v>
      </c>
      <c r="H31" s="21" t="n">
        <f aca="false">SUM(B31:G31)</f>
        <v>24369438.6</v>
      </c>
    </row>
    <row r="32" customFormat="false" ht="15" hidden="false" customHeight="false" outlineLevel="0" collapsed="false">
      <c r="A32" s="16" t="s">
        <v>103</v>
      </c>
      <c r="B32" s="21" t="n">
        <f aca="false">B31</f>
        <v>268973.1</v>
      </c>
      <c r="C32" s="21" t="n">
        <f aca="false">B32+C31</f>
        <v>2917996.2</v>
      </c>
      <c r="D32" s="21" t="n">
        <f aca="false">C32+D31</f>
        <v>6798759.3</v>
      </c>
      <c r="E32" s="21" t="n">
        <f aca="false">D32+E31</f>
        <v>11613452.4</v>
      </c>
      <c r="F32" s="21" t="n">
        <f aca="false">E32+F31</f>
        <v>17375575.5</v>
      </c>
      <c r="G32" s="21" t="n">
        <f aca="false">F32+G31</f>
        <v>24369438.6</v>
      </c>
      <c r="H32" s="13"/>
    </row>
    <row r="34" customFormat="false" ht="15" hidden="false" customHeight="false" outlineLevel="0" collapsed="false">
      <c r="A34" s="3" t="s">
        <v>104</v>
      </c>
    </row>
    <row r="35" customFormat="false" ht="15" hidden="false" customHeight="false" outlineLevel="0" collapsed="false">
      <c r="A35" s="5" t="s">
        <v>105</v>
      </c>
      <c r="B35" s="22" t="n">
        <f aca="false">IF(B19=0,0,B29/B19)</f>
        <v>0.200643840214837</v>
      </c>
      <c r="C35" s="22" t="n">
        <f aca="false">IF(C19=0,0,C29/C19)</f>
        <v>0.602653357903358</v>
      </c>
      <c r="D35" s="22" t="n">
        <f aca="false">IF(D19=0,0,D29/D19)</f>
        <v>0.629244228468027</v>
      </c>
      <c r="E35" s="22" t="n">
        <f aca="false">IF(E19=0,0,E29/E19)</f>
        <v>0.641422850496985</v>
      </c>
      <c r="F35" s="22" t="n">
        <f aca="false">IF(F19=0,0,F29/F19)</f>
        <v>0.650447932540892</v>
      </c>
      <c r="G35" s="22" t="n">
        <f aca="false">IF(G19=0,0,G29/G19)</f>
        <v>0.657909089369772</v>
      </c>
      <c r="H35" s="13"/>
    </row>
    <row r="36" customFormat="false" ht="15" hidden="false" customHeight="false" outlineLevel="0" collapsed="false">
      <c r="A36" s="5" t="s">
        <v>106</v>
      </c>
      <c r="B36" s="10" t="n">
        <f aca="false">IF(B8=0,0,B19/B8)</f>
        <v>1986</v>
      </c>
      <c r="C36" s="10" t="n">
        <f aca="false">IF(C8=0,0,C19/C8)</f>
        <v>3256</v>
      </c>
      <c r="D36" s="10" t="n">
        <f aca="false">IF(D8=0,0,D19/D8)</f>
        <v>3263.14285714286</v>
      </c>
      <c r="E36" s="10" t="n">
        <f aca="false">IF(E8=0,0,E19/E8)</f>
        <v>3270.70588235294</v>
      </c>
      <c r="F36" s="10" t="n">
        <f aca="false">IF(F8=0,0,F19/F8)</f>
        <v>3281</v>
      </c>
      <c r="G36" s="10" t="n">
        <f aca="false">IF(G8=0,0,G19/G8)</f>
        <v>3281</v>
      </c>
      <c r="H36" s="13"/>
    </row>
    <row r="37" customFormat="false" ht="15" hidden="false" customHeight="false" outlineLevel="0" collapsed="false">
      <c r="A37" s="5" t="s">
        <v>107</v>
      </c>
      <c r="B37" s="10" t="n">
        <f aca="false">B11/30</f>
        <v>500000</v>
      </c>
      <c r="C37" s="10" t="n">
        <f aca="false">C11/30</f>
        <v>1000000</v>
      </c>
      <c r="D37" s="10" t="n">
        <f aca="false">D11/30</f>
        <v>1400000</v>
      </c>
      <c r="E37" s="10" t="n">
        <f aca="false">E11/30</f>
        <v>1700000</v>
      </c>
      <c r="F37" s="10" t="n">
        <f aca="false">F11/30</f>
        <v>2000000</v>
      </c>
      <c r="G37" s="10" t="n">
        <f aca="false">G11/30</f>
        <v>2400000</v>
      </c>
      <c r="H37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8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9"/>
      <c r="B4" s="9" t="s">
        <v>74</v>
      </c>
      <c r="C4" s="9" t="s">
        <v>75</v>
      </c>
      <c r="D4" s="9" t="s">
        <v>76</v>
      </c>
      <c r="E4" s="9" t="s">
        <v>77</v>
      </c>
      <c r="F4" s="9" t="s">
        <v>78</v>
      </c>
      <c r="G4" s="9" t="s">
        <v>79</v>
      </c>
      <c r="H4" s="9" t="s">
        <v>80</v>
      </c>
    </row>
    <row r="6" customFormat="false" ht="15" hidden="false" customHeight="false" outlineLevel="0" collapsed="false">
      <c r="A6" s="3" t="s">
        <v>81</v>
      </c>
    </row>
    <row r="7" customFormat="false" ht="15" hidden="false" customHeight="false" outlineLevel="0" collapsed="false">
      <c r="A7" s="5" t="s">
        <v>82</v>
      </c>
      <c r="B7" s="10" t="n">
        <f aca="false">Parametros!D7</f>
        <v>40</v>
      </c>
      <c r="C7" s="10" t="n">
        <f aca="false">Parametros!D8</f>
        <v>80</v>
      </c>
      <c r="D7" s="10" t="n">
        <f aca="false">Parametros!D9</f>
        <v>110</v>
      </c>
      <c r="E7" s="10" t="n">
        <f aca="false">Parametros!D10</f>
        <v>130</v>
      </c>
      <c r="F7" s="10" t="n">
        <f aca="false">Parametros!D11</f>
        <v>150</v>
      </c>
      <c r="G7" s="10" t="n">
        <f aca="false">Parametros!D12</f>
        <v>170</v>
      </c>
      <c r="H7" s="11" t="n">
        <f aca="false">AVERAGE(B7:G7)</f>
        <v>113.333333333333</v>
      </c>
    </row>
    <row r="8" customFormat="false" ht="15" hidden="false" customHeight="false" outlineLevel="0" collapsed="false">
      <c r="A8" s="5" t="s">
        <v>83</v>
      </c>
      <c r="B8" s="10" t="n">
        <f aca="false">B7*30</f>
        <v>1200</v>
      </c>
      <c r="C8" s="10" t="n">
        <f aca="false">C7*30</f>
        <v>2400</v>
      </c>
      <c r="D8" s="10" t="n">
        <f aca="false">D7*30</f>
        <v>3300</v>
      </c>
      <c r="E8" s="10" t="n">
        <f aca="false">E7*30</f>
        <v>3900</v>
      </c>
      <c r="F8" s="10" t="n">
        <f aca="false">F7*30</f>
        <v>4500</v>
      </c>
      <c r="G8" s="10" t="n">
        <f aca="false">G7*30</f>
        <v>5100</v>
      </c>
      <c r="H8" s="12" t="n">
        <f aca="false">SUM(B8:G8)</f>
        <v>20400</v>
      </c>
    </row>
    <row r="9" customFormat="false" ht="15" hidden="false" customHeight="false" outlineLevel="0" collapsed="false">
      <c r="A9" s="5" t="s">
        <v>84</v>
      </c>
      <c r="B9" s="10" t="n">
        <f aca="false">Parametros!D13</f>
        <v>12</v>
      </c>
      <c r="C9" s="10" t="n">
        <f aca="false">Parametros!D14</f>
        <v>22</v>
      </c>
      <c r="D9" s="10" t="n">
        <f aca="false">Parametros!D15</f>
        <v>32</v>
      </c>
      <c r="E9" s="10" t="n">
        <f aca="false">Parametros!D16</f>
        <v>40</v>
      </c>
      <c r="F9" s="10" t="n">
        <f aca="false">Parametros!D17</f>
        <v>48</v>
      </c>
      <c r="G9" s="10" t="n">
        <f aca="false">Parametros!D18</f>
        <v>55</v>
      </c>
      <c r="H9" s="10" t="n">
        <f aca="false">MAX(B9:G9)</f>
        <v>55</v>
      </c>
    </row>
    <row r="10" customFormat="false" ht="15" hidden="false" customHeight="false" outlineLevel="0" collapsed="false">
      <c r="A10" s="5" t="s">
        <v>85</v>
      </c>
      <c r="B10" s="10" t="n">
        <f aca="false">Parametros!D6</f>
        <v>25000</v>
      </c>
      <c r="C10" s="10" t="n">
        <f aca="false">Parametros!D6</f>
        <v>25000</v>
      </c>
      <c r="D10" s="10" t="n">
        <f aca="false">Parametros!D6</f>
        <v>25000</v>
      </c>
      <c r="E10" s="10" t="n">
        <f aca="false">Parametros!D6</f>
        <v>25000</v>
      </c>
      <c r="F10" s="10" t="n">
        <f aca="false">Parametros!D6</f>
        <v>25000</v>
      </c>
      <c r="G10" s="10" t="n">
        <f aca="false">Parametros!D6</f>
        <v>25000</v>
      </c>
      <c r="H10" s="13"/>
    </row>
    <row r="11" customFormat="false" ht="15" hidden="false" customHeight="false" outlineLevel="0" collapsed="false">
      <c r="A11" s="14" t="s">
        <v>86</v>
      </c>
      <c r="B11" s="15" t="n">
        <f aca="false">B8*B10</f>
        <v>30000000</v>
      </c>
      <c r="C11" s="15" t="n">
        <f aca="false">C8*C10</f>
        <v>60000000</v>
      </c>
      <c r="D11" s="15" t="n">
        <f aca="false">D8*D10</f>
        <v>82500000</v>
      </c>
      <c r="E11" s="15" t="n">
        <f aca="false">E8*E10</f>
        <v>97500000</v>
      </c>
      <c r="F11" s="15" t="n">
        <f aca="false">F8*F10</f>
        <v>112500000</v>
      </c>
      <c r="G11" s="15" t="n">
        <f aca="false">G8*G10</f>
        <v>127500000</v>
      </c>
      <c r="H11" s="15" t="n">
        <f aca="false">SUM(B11:G11)</f>
        <v>510000000</v>
      </c>
    </row>
    <row r="13" customFormat="false" ht="15" hidden="false" customHeight="false" outlineLevel="0" collapsed="false">
      <c r="A13" s="3" t="s">
        <v>87</v>
      </c>
    </row>
    <row r="14" customFormat="false" ht="15" hidden="false" customHeight="false" outlineLevel="0" collapsed="false">
      <c r="A14" s="5" t="s">
        <v>88</v>
      </c>
      <c r="B14" s="10" t="n">
        <f aca="false">B11*(1-Parametros!D19)*Parametros!B27</f>
        <v>0</v>
      </c>
      <c r="C14" s="10" t="n">
        <f aca="false">C11*(1-Parametros!D19)*Parametros!B28</f>
        <v>3600000</v>
      </c>
      <c r="D14" s="10" t="n">
        <f aca="false">D11*(1-Parametros!D19)*Parametros!B28</f>
        <v>4950000</v>
      </c>
      <c r="E14" s="10" t="n">
        <f aca="false">E11*(1-Parametros!D19)*Parametros!B28</f>
        <v>5850000</v>
      </c>
      <c r="F14" s="10" t="n">
        <f aca="false">F11*(1-Parametros!D19)*Parametros!B28</f>
        <v>6750000</v>
      </c>
      <c r="G14" s="10" t="n">
        <f aca="false">G11*(1-Parametros!D19)*Parametros!B28</f>
        <v>7650000</v>
      </c>
      <c r="H14" s="12" t="n">
        <f aca="false">SUM(B14:G14)</f>
        <v>28800000</v>
      </c>
    </row>
    <row r="15" customFormat="false" ht="15" hidden="false" customHeight="false" outlineLevel="0" collapsed="false">
      <c r="A15" s="5" t="s">
        <v>89</v>
      </c>
      <c r="B15" s="10" t="n">
        <f aca="false">B11*Parametros!D19*Parametros!B29</f>
        <v>900000</v>
      </c>
      <c r="C15" s="10" t="n">
        <f aca="false">C11*Parametros!D19*Parametros!B29</f>
        <v>1800000</v>
      </c>
      <c r="D15" s="10" t="n">
        <f aca="false">D11*Parametros!D19*Parametros!B29</f>
        <v>2475000</v>
      </c>
      <c r="E15" s="10" t="n">
        <f aca="false">E11*Parametros!D19*Parametros!B29</f>
        <v>2925000</v>
      </c>
      <c r="F15" s="10" t="n">
        <f aca="false">F11*Parametros!D19*Parametros!B29</f>
        <v>3375000</v>
      </c>
      <c r="G15" s="10" t="n">
        <f aca="false">G11*Parametros!D19*Parametros!B29</f>
        <v>3825000</v>
      </c>
      <c r="H15" s="12" t="n">
        <f aca="false">SUM(B15:G15)</f>
        <v>15300000</v>
      </c>
    </row>
    <row r="16" customFormat="false" ht="15" hidden="false" customHeight="false" outlineLevel="0" collapsed="false">
      <c r="A16" s="5" t="s">
        <v>90</v>
      </c>
      <c r="B16" s="10" t="n">
        <f aca="false">B8*(Parametros!D21*Parametros!B34+Parametros!D22*Parametros!B35+Parametros!D23*Parametros!B36)*(1-Parametros!B33)</f>
        <v>415200</v>
      </c>
      <c r="C16" s="10" t="n">
        <f aca="false">C8*(Parametros!D21*Parametros!B34+Parametros!D22*Parametros!B35+Parametros!D23*Parametros!B36)*(1-Parametros!B33)</f>
        <v>830400</v>
      </c>
      <c r="D16" s="10" t="n">
        <f aca="false">D8*(Parametros!D21*Parametros!B34+Parametros!D22*Parametros!B35+Parametros!D23*Parametros!B36)*(1-Parametros!B33)</f>
        <v>1141800</v>
      </c>
      <c r="E16" s="10" t="n">
        <f aca="false">E8*(Parametros!D21*Parametros!B34+Parametros!D22*Parametros!B35+Parametros!D23*Parametros!B36)*(1-Parametros!B33)</f>
        <v>1349400</v>
      </c>
      <c r="F16" s="10" t="n">
        <f aca="false">F8*(Parametros!D21*Parametros!B34+Parametros!D22*Parametros!B35+Parametros!D23*Parametros!B36)*(1-Parametros!B33)</f>
        <v>1557000</v>
      </c>
      <c r="G16" s="10" t="n">
        <f aca="false">G8*(Parametros!D21*Parametros!B34+Parametros!D22*Parametros!B35+Parametros!D23*Parametros!B36)*(1-Parametros!B33)</f>
        <v>1764600</v>
      </c>
      <c r="H16" s="12" t="n">
        <f aca="false">SUM(B16:G16)</f>
        <v>7058400</v>
      </c>
    </row>
    <row r="17" customFormat="false" ht="15" hidden="false" customHeight="false" outlineLevel="0" collapsed="false">
      <c r="A17" s="5" t="s">
        <v>91</v>
      </c>
      <c r="B17" s="10" t="n">
        <f aca="false">B11*Parametros!B30</f>
        <v>1500000</v>
      </c>
      <c r="C17" s="10" t="n">
        <f aca="false">C11*Parametros!B30</f>
        <v>3000000</v>
      </c>
      <c r="D17" s="10" t="n">
        <f aca="false">D11*Parametros!B30</f>
        <v>4125000</v>
      </c>
      <c r="E17" s="10" t="n">
        <f aca="false">E11*Parametros!B30</f>
        <v>4875000</v>
      </c>
      <c r="F17" s="10" t="n">
        <f aca="false">F11*Parametros!B30</f>
        <v>5625000</v>
      </c>
      <c r="G17" s="10" t="n">
        <f aca="false">G11*Parametros!B30</f>
        <v>6375000</v>
      </c>
      <c r="H17" s="12" t="n">
        <f aca="false">SUM(B17:G17)</f>
        <v>25500000</v>
      </c>
    </row>
    <row r="18" customFormat="false" ht="15" hidden="false" customHeight="false" outlineLevel="0" collapsed="false">
      <c r="A18" s="5" t="s">
        <v>92</v>
      </c>
      <c r="B18" s="10" t="n">
        <f aca="false">B9*Parametros!B41*Parametros!B42</f>
        <v>180000</v>
      </c>
      <c r="C18" s="10" t="n">
        <f aca="false">C9*Parametros!B41*Parametros!B42</f>
        <v>330000</v>
      </c>
      <c r="D18" s="10" t="n">
        <f aca="false">D9*Parametros!B41*Parametros!B42</f>
        <v>480000</v>
      </c>
      <c r="E18" s="10" t="n">
        <f aca="false">E9*Parametros!B41*Parametros!B42</f>
        <v>600000</v>
      </c>
      <c r="F18" s="10" t="n">
        <f aca="false">F9*Parametros!B41*Parametros!B42</f>
        <v>720000</v>
      </c>
      <c r="G18" s="10" t="n">
        <f aca="false">G9*Parametros!B41*Parametros!B42</f>
        <v>825000</v>
      </c>
      <c r="H18" s="12" t="n">
        <f aca="false">SUM(B18:G18)</f>
        <v>3135000</v>
      </c>
    </row>
    <row r="19" customFormat="false" ht="15" hidden="false" customHeight="false" outlineLevel="0" collapsed="false">
      <c r="A19" s="16" t="s">
        <v>93</v>
      </c>
      <c r="B19" s="17" t="n">
        <f aca="false">SUM(B14:B18)</f>
        <v>2995200</v>
      </c>
      <c r="C19" s="17" t="n">
        <f aca="false">SUM(C14:C18)</f>
        <v>9560400</v>
      </c>
      <c r="D19" s="17" t="n">
        <f aca="false">SUM(D14:D18)</f>
        <v>13171800</v>
      </c>
      <c r="E19" s="17" t="n">
        <f aca="false">SUM(E14:E18)</f>
        <v>15599400</v>
      </c>
      <c r="F19" s="17" t="n">
        <f aca="false">SUM(F14:F18)</f>
        <v>18027000</v>
      </c>
      <c r="G19" s="17" t="n">
        <f aca="false">SUM(G14:G18)</f>
        <v>20439600</v>
      </c>
      <c r="H19" s="17" t="n">
        <f aca="false">SUM(B19:G19)</f>
        <v>79793400</v>
      </c>
    </row>
    <row r="21" customFormat="false" ht="15" hidden="false" customHeight="false" outlineLevel="0" collapsed="false">
      <c r="A21" s="3" t="s">
        <v>94</v>
      </c>
    </row>
    <row r="22" customFormat="false" ht="15" hidden="false" customHeight="false" outlineLevel="0" collapsed="false">
      <c r="A22" s="5" t="s">
        <v>95</v>
      </c>
      <c r="B22" s="10" t="n">
        <f aca="false">B11*Parametros!B32*Parametros!B31</f>
        <v>600000</v>
      </c>
      <c r="C22" s="10" t="n">
        <f aca="false">C11*Parametros!B32*Parametros!B31</f>
        <v>1200000</v>
      </c>
      <c r="D22" s="10" t="n">
        <f aca="false">D11*Parametros!B32*Parametros!B31</f>
        <v>1650000</v>
      </c>
      <c r="E22" s="10" t="n">
        <f aca="false">E11*Parametros!B32*Parametros!B31</f>
        <v>1950000</v>
      </c>
      <c r="F22" s="10" t="n">
        <f aca="false">F11*Parametros!B32*Parametros!B31</f>
        <v>2250000</v>
      </c>
      <c r="G22" s="10" t="n">
        <f aca="false">G11*Parametros!B32*Parametros!B31</f>
        <v>2550000</v>
      </c>
      <c r="H22" s="12" t="n">
        <f aca="false">SUM(B22:G22)</f>
        <v>10200000</v>
      </c>
    </row>
    <row r="23" customFormat="false" ht="15" hidden="false" customHeight="false" outlineLevel="0" collapsed="false">
      <c r="A23" s="5" t="s">
        <v>64</v>
      </c>
      <c r="B23" s="10" t="n">
        <f aca="false">Parametros!B39</f>
        <v>440641</v>
      </c>
      <c r="C23" s="10" t="n">
        <f aca="false">Parametros!B39</f>
        <v>440641</v>
      </c>
      <c r="D23" s="10" t="n">
        <f aca="false">Parametros!B39</f>
        <v>440641</v>
      </c>
      <c r="E23" s="10" t="n">
        <f aca="false">Parametros!B39</f>
        <v>440641</v>
      </c>
      <c r="F23" s="10" t="n">
        <f aca="false">Parametros!B39</f>
        <v>440641</v>
      </c>
      <c r="G23" s="10" t="n">
        <f aca="false">Parametros!B39</f>
        <v>440641</v>
      </c>
      <c r="H23" s="12" t="n">
        <f aca="false">SUM(B23:G23)</f>
        <v>2643846</v>
      </c>
    </row>
    <row r="24" customFormat="false" ht="15" hidden="false" customHeight="false" outlineLevel="0" collapsed="false">
      <c r="A24" s="5" t="s">
        <v>96</v>
      </c>
      <c r="B24" s="10" t="n">
        <f aca="false">B11*0.01</f>
        <v>300000</v>
      </c>
      <c r="C24" s="10" t="n">
        <f aca="false">C11*0.01</f>
        <v>600000</v>
      </c>
      <c r="D24" s="10" t="n">
        <f aca="false">D11*0.01</f>
        <v>825000</v>
      </c>
      <c r="E24" s="10" t="n">
        <f aca="false">E11*0.01</f>
        <v>975000</v>
      </c>
      <c r="F24" s="10" t="n">
        <f aca="false">F11*0.01</f>
        <v>1125000</v>
      </c>
      <c r="G24" s="10" t="n">
        <f aca="false">G11*0.01</f>
        <v>1275000</v>
      </c>
      <c r="H24" s="12" t="n">
        <f aca="false">SUM(B24:G24)</f>
        <v>5100000</v>
      </c>
    </row>
    <row r="25" customFormat="false" ht="15" hidden="false" customHeight="false" outlineLevel="0" collapsed="false">
      <c r="A25" s="5" t="s">
        <v>97</v>
      </c>
      <c r="B25" s="10" t="n">
        <f aca="false">B11*0.02</f>
        <v>600000</v>
      </c>
      <c r="C25" s="10" t="n">
        <f aca="false">C11*0.02</f>
        <v>1200000</v>
      </c>
      <c r="D25" s="10" t="n">
        <f aca="false">D11*0.02</f>
        <v>1650000</v>
      </c>
      <c r="E25" s="10" t="n">
        <f aca="false">E11*0.02</f>
        <v>1950000</v>
      </c>
      <c r="F25" s="10" t="n">
        <f aca="false">F11*0.02</f>
        <v>2250000</v>
      </c>
      <c r="G25" s="10" t="n">
        <f aca="false">G11*0.02</f>
        <v>2550000</v>
      </c>
      <c r="H25" s="12" t="n">
        <f aca="false">SUM(B25:G25)</f>
        <v>10200000</v>
      </c>
    </row>
    <row r="26" customFormat="false" ht="15" hidden="false" customHeight="false" outlineLevel="0" collapsed="false">
      <c r="A26" s="18" t="s">
        <v>98</v>
      </c>
      <c r="B26" s="19" t="n">
        <f aca="false">SUM(B22:B25)</f>
        <v>1940641</v>
      </c>
      <c r="C26" s="19" t="n">
        <f aca="false">SUM(C22:C25)</f>
        <v>3440641</v>
      </c>
      <c r="D26" s="19" t="n">
        <f aca="false">SUM(D22:D25)</f>
        <v>4565641</v>
      </c>
      <c r="E26" s="19" t="n">
        <f aca="false">SUM(E22:E25)</f>
        <v>5315641</v>
      </c>
      <c r="F26" s="19" t="n">
        <f aca="false">SUM(F22:F25)</f>
        <v>6065641</v>
      </c>
      <c r="G26" s="19" t="n">
        <f aca="false">SUM(G22:G25)</f>
        <v>6815641</v>
      </c>
      <c r="H26" s="19" t="n">
        <f aca="false">SUM(B26:G26)</f>
        <v>28143846</v>
      </c>
    </row>
    <row r="28" customFormat="false" ht="15" hidden="false" customHeight="false" outlineLevel="0" collapsed="false">
      <c r="A28" s="3" t="s">
        <v>99</v>
      </c>
    </row>
    <row r="29" customFormat="false" ht="15" hidden="false" customHeight="false" outlineLevel="0" collapsed="false">
      <c r="A29" s="5" t="s">
        <v>100</v>
      </c>
      <c r="B29" s="20" t="n">
        <f aca="false">B19-B26</f>
        <v>1054559</v>
      </c>
      <c r="C29" s="20" t="n">
        <f aca="false">C19-C26</f>
        <v>6119759</v>
      </c>
      <c r="D29" s="20" t="n">
        <f aca="false">D19-D26</f>
        <v>8606159</v>
      </c>
      <c r="E29" s="20" t="n">
        <f aca="false">E19-E26</f>
        <v>10283759</v>
      </c>
      <c r="F29" s="20" t="n">
        <f aca="false">F19-F26</f>
        <v>11961359</v>
      </c>
      <c r="G29" s="20" t="n">
        <f aca="false">G19-G26</f>
        <v>13623959</v>
      </c>
      <c r="H29" s="20" t="n">
        <f aca="false">SUM(B29:G29)</f>
        <v>51649554</v>
      </c>
    </row>
    <row r="30" customFormat="false" ht="15" hidden="false" customHeight="false" outlineLevel="0" collapsed="false">
      <c r="A30" s="5" t="s">
        <v>101</v>
      </c>
      <c r="B30" s="10" t="n">
        <f aca="false">IF(B29&gt;0,B29*Parametros!B40,0)</f>
        <v>105455.9</v>
      </c>
      <c r="C30" s="10" t="n">
        <f aca="false">IF(C29&gt;0,C29*Parametros!B40,0)</f>
        <v>611975.9</v>
      </c>
      <c r="D30" s="10" t="n">
        <f aca="false">IF(D29&gt;0,D29*Parametros!B40,0)</f>
        <v>860615.9</v>
      </c>
      <c r="E30" s="10" t="n">
        <f aca="false">IF(E29&gt;0,E29*Parametros!B40,0)</f>
        <v>1028375.9</v>
      </c>
      <c r="F30" s="10" t="n">
        <f aca="false">IF(F29&gt;0,F29*Parametros!B40,0)</f>
        <v>1196135.9</v>
      </c>
      <c r="G30" s="10" t="n">
        <f aca="false">IF(G29&gt;0,G29*Parametros!B40,0)</f>
        <v>1362395.9</v>
      </c>
      <c r="H30" s="12" t="n">
        <f aca="false">SUM(B30:G30)</f>
        <v>5164955.4</v>
      </c>
    </row>
    <row r="31" customFormat="false" ht="15" hidden="false" customHeight="false" outlineLevel="0" collapsed="false">
      <c r="A31" s="16" t="s">
        <v>102</v>
      </c>
      <c r="B31" s="21" t="n">
        <f aca="false">B29-B30</f>
        <v>949103.1</v>
      </c>
      <c r="C31" s="21" t="n">
        <f aca="false">C29-C30</f>
        <v>5507783.1</v>
      </c>
      <c r="D31" s="21" t="n">
        <f aca="false">D29-D30</f>
        <v>7745543.1</v>
      </c>
      <c r="E31" s="21" t="n">
        <f aca="false">E29-E30</f>
        <v>9255383.1</v>
      </c>
      <c r="F31" s="21" t="n">
        <f aca="false">F29-F30</f>
        <v>10765223.1</v>
      </c>
      <c r="G31" s="21" t="n">
        <f aca="false">G29-G30</f>
        <v>12261563.1</v>
      </c>
      <c r="H31" s="21" t="n">
        <f aca="false">SUM(B31:G31)</f>
        <v>46484598.6</v>
      </c>
    </row>
    <row r="32" customFormat="false" ht="15" hidden="false" customHeight="false" outlineLevel="0" collapsed="false">
      <c r="A32" s="16" t="s">
        <v>103</v>
      </c>
      <c r="B32" s="21" t="n">
        <f aca="false">B31</f>
        <v>949103.1</v>
      </c>
      <c r="C32" s="21" t="n">
        <f aca="false">B32+C31</f>
        <v>6456886.2</v>
      </c>
      <c r="D32" s="21" t="n">
        <f aca="false">C32+D31</f>
        <v>14202429.3</v>
      </c>
      <c r="E32" s="21" t="n">
        <f aca="false">D32+E31</f>
        <v>23457812.4</v>
      </c>
      <c r="F32" s="21" t="n">
        <f aca="false">E32+F31</f>
        <v>34223035.5</v>
      </c>
      <c r="G32" s="21" t="n">
        <f aca="false">F32+G31</f>
        <v>46484598.6</v>
      </c>
      <c r="H32" s="13"/>
    </row>
    <row r="34" customFormat="false" ht="15" hidden="false" customHeight="false" outlineLevel="0" collapsed="false">
      <c r="A34" s="3" t="s">
        <v>104</v>
      </c>
    </row>
    <row r="35" customFormat="false" ht="15" hidden="false" customHeight="false" outlineLevel="0" collapsed="false">
      <c r="A35" s="5" t="s">
        <v>105</v>
      </c>
      <c r="B35" s="22" t="n">
        <f aca="false">IF(B19=0,0,B29/B19)</f>
        <v>0.352082999465812</v>
      </c>
      <c r="C35" s="22" t="n">
        <f aca="false">IF(C19=0,0,C29/C19)</f>
        <v>0.640115371741768</v>
      </c>
      <c r="D35" s="22" t="n">
        <f aca="false">IF(D19=0,0,D29/D19)</f>
        <v>0.653377594558071</v>
      </c>
      <c r="E35" s="22" t="n">
        <f aca="false">IF(E19=0,0,E29/E19)</f>
        <v>0.659240675923433</v>
      </c>
      <c r="F35" s="22" t="n">
        <f aca="false">IF(F19=0,0,F29/F19)</f>
        <v>0.663524657458257</v>
      </c>
      <c r="G35" s="22" t="n">
        <f aca="false">IF(G19=0,0,G29/G19)</f>
        <v>0.666547241628995</v>
      </c>
      <c r="H35" s="13"/>
    </row>
    <row r="36" customFormat="false" ht="15" hidden="false" customHeight="false" outlineLevel="0" collapsed="false">
      <c r="A36" s="5" t="s">
        <v>106</v>
      </c>
      <c r="B36" s="10" t="n">
        <f aca="false">IF(B8=0,0,B19/B8)</f>
        <v>2496</v>
      </c>
      <c r="C36" s="10" t="n">
        <f aca="false">IF(C8=0,0,C19/C8)</f>
        <v>3983.5</v>
      </c>
      <c r="D36" s="10" t="n">
        <f aca="false">IF(D8=0,0,D19/D8)</f>
        <v>3991.45454545455</v>
      </c>
      <c r="E36" s="10" t="n">
        <f aca="false">IF(E8=0,0,E19/E8)</f>
        <v>3999.84615384615</v>
      </c>
      <c r="F36" s="10" t="n">
        <f aca="false">IF(F8=0,0,F19/F8)</f>
        <v>4006</v>
      </c>
      <c r="G36" s="10" t="n">
        <f aca="false">IF(G8=0,0,G19/G8)</f>
        <v>4007.76470588235</v>
      </c>
      <c r="H36" s="13"/>
    </row>
    <row r="37" customFormat="false" ht="15" hidden="false" customHeight="false" outlineLevel="0" collapsed="false">
      <c r="A37" s="5" t="s">
        <v>107</v>
      </c>
      <c r="B37" s="10" t="n">
        <f aca="false">B11/30</f>
        <v>1000000</v>
      </c>
      <c r="C37" s="10" t="n">
        <f aca="false">C11/30</f>
        <v>2000000</v>
      </c>
      <c r="D37" s="10" t="n">
        <f aca="false">D11/30</f>
        <v>2750000</v>
      </c>
      <c r="E37" s="10" t="n">
        <f aca="false">E11/30</f>
        <v>3250000</v>
      </c>
      <c r="F37" s="10" t="n">
        <f aca="false">F11/30</f>
        <v>3750000</v>
      </c>
      <c r="G37" s="10" t="n">
        <f aca="false">G11/30</f>
        <v>4250000</v>
      </c>
      <c r="H37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2026-04-01T19:44:22Z</dcterms:created>
  <dc:creator>openpyxl</dc:creator>
  <dc:description/>
  <dc:language>en-US</dc:language>
  <cp:lastModifiedBy/>
  <dcterms:modified xsi:type="dcterms:W3CDTF">2026-04-01T19:44:22Z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