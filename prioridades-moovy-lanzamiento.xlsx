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rioridades" sheetId="2" state="visible" r:id="rId4"/>
    <sheet name="Timeline" sheetId="3" state="visible" r:id="rId5"/>
    <sheet name="Futur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<sst xmlns="http://schemas.openxmlformats.org/spreadsheetml/2006/main" count="262" uniqueCount="180">
  <si>
    <t xml:space="preserve">MOOVY — Lista de Prioridades para Lanzamiento</t>
  </si>
  <si>
    <t xml:space="preserve">Actualizado: 15 de marzo de 2026 — Estado real del codebase</t>
  </si>
  <si>
    <t xml:space="preserve">ESTADO GENERAL DEL PROYECTO</t>
  </si>
  <si>
    <t xml:space="preserve">Completitud estimada</t>
  </si>
  <si>
    <t xml:space="preserve">~93%</t>
  </si>
  <si>
    <t xml:space="preserve">Portales funcionales</t>
  </si>
  <si>
    <t xml:space="preserve">5/5 (Tienda, Repartidor, Comercio, Vendedor, Admin)</t>
  </si>
  <si>
    <t xml:space="preserve">API Endpoints</t>
  </si>
  <si>
    <t xml:space="preserve">~122 implementados</t>
  </si>
  <si>
    <t xml:space="preserve">Páginas legales</t>
  </si>
  <si>
    <t xml:space="preserve">9/9 completas</t>
  </si>
  <si>
    <t xml:space="preserve">SEO (metadata, sitemap, robots)</t>
  </si>
  <si>
    <t xml:space="preserve">Implementado</t>
  </si>
  <si>
    <t xml:space="preserve">Error boundaries</t>
  </si>
  <si>
    <t xml:space="preserve">Implementados en todos los portales</t>
  </si>
  <si>
    <t xml:space="preserve">Roles legacy (session.user.role)</t>
  </si>
  <si>
    <t xml:space="preserve">0 restantes — migración completa</t>
  </si>
  <si>
    <t xml:space="preserve">Items bloqueantes</t>
  </si>
  <si>
    <t xml:space="preserve">3 pendientes</t>
  </si>
  <si>
    <t xml:space="preserve">Items importantes</t>
  </si>
  <si>
    <t xml:space="preserve">6 pendientes</t>
  </si>
  <si>
    <t xml:space="preserve">Items nice-to-have</t>
  </si>
  <si>
    <t xml:space="preserve">8 pendientes</t>
  </si>
  <si>
    <t xml:space="preserve">ISSUES DE LA AUDITORÍA YA RESUELTOS (no requieren acción)</t>
  </si>
  <si>
    <t xml:space="preserve">✓</t>
  </si>
  <si>
    <t xml:space="preserve">Endpoints repartidor (GET /api/driver/orders, accept, reject, status, claim)</t>
  </si>
  <si>
    <t xml:space="preserve">Páginas legales (cookies, términos por rol, devoluciones, cancelaciones)</t>
  </si>
  <si>
    <t xml:space="preserve">Campos legales comercio (CUIT, habilitación, CBU, sanitario)</t>
  </si>
  <si>
    <t xml:space="preserve">Upload documentos repartidor (DNI, licencia, seguro, VTV, CUIT)</t>
  </si>
  <si>
    <t xml:space="preserve">Onboarding vendedor con wizard (CUIT, términos, perfil)</t>
  </si>
  <si>
    <t xml:space="preserve">Error boundaries en todos los portales</t>
  </si>
  <si>
    <t xml:space="preserve">SEO: generateMetadata() + JSON-LD + sitemap.ts + robots.ts</t>
  </si>
  <si>
    <t xml:space="preserve">Maintenance mode configurable por env var</t>
  </si>
  <si>
    <t xml:space="preserve">Buscador global en AppHeader (desktop + mobile)</t>
  </si>
  <si>
    <t xml:space="preserve">Campana de notificaciones en header</t>
  </si>
  <si>
    <t xml:space="preserve">Skeleton loaders en productos y marketplace</t>
  </si>
  <si>
    <t xml:space="preserve">Horarios de atención del comercio</t>
  </si>
  <si>
    <t xml:space="preserve">Botón compartir WhatsApp en productos y listings</t>
  </si>
  <si>
    <t xml:space="preserve">Sistema de reseñas (merchant, seller, driver)</t>
  </si>
  <si>
    <t xml:space="preserve">Dashboard revenue en OPS</t>
  </si>
  <si>
    <t xml:space="preserve">Pagos y comisiones para comercios</t>
  </si>
  <si>
    <t xml:space="preserve">Alerta sonora pedidos vendedor</t>
  </si>
  <si>
    <t xml:space="preserve">Migración completa de roles legacy (0 restantes)</t>
  </si>
  <si>
    <t xml:space="preserve">.env.example completo con documentación</t>
  </si>
  <si>
    <t xml:space="preserve">Índices de base de datos</t>
  </si>
  <si>
    <t xml:space="preserve">Link cambiar contraseña en perfil</t>
  </si>
  <si>
    <t xml:space="preserve">Navegación GPS integrada para repartidor (Google Maps)</t>
  </si>
  <si>
    <t xml:space="preserve">Footer con 6 links legales</t>
  </si>
  <si>
    <t xml:space="preserve">PRIORIDADES PENDIENTES — Ordenadas por impacto</t>
  </si>
  <si>
    <t xml:space="preserve">#</t>
  </si>
  <si>
    <t xml:space="preserve">Prioridad</t>
  </si>
  <si>
    <t xml:space="preserve">Tarea</t>
  </si>
  <si>
    <t xml:space="preserve">Detalle</t>
  </si>
  <si>
    <t xml:space="preserve">Esfuerzo</t>
  </si>
  <si>
    <t xml:space="preserve">Branch</t>
  </si>
  <si>
    <t xml:space="preserve">Estado</t>
  </si>
  <si>
    <t xml:space="preserve">🔴 BLOCKER</t>
  </si>
  <si>
    <t xml:space="preserve">Configurar vercel.json para crons</t>
  </si>
  <si>
    <t xml:space="preserve">Sin vercel.json los 4 crons (assignment-tick, merchant-timeout, scheduled-notify, seller-resume) no se ejecutan automáticamente en Vercel</t>
  </si>
  <si>
    <t xml:space="preserve">30 min</t>
  </si>
  <si>
    <t xml:space="preserve">feat/vercel-cron</t>
  </si>
  <si>
    <t xml:space="preserve">Pendiente</t>
  </si>
  <si>
    <t xml:space="preserve">Email SMTP: App Password Gmail</t>
  </si>
  <si>
    <t xml:space="preserve">SMTP_PASS debe ser App Password de 16 caracteres de Gmail (no la contraseña normal). Sin esto no hay emails de confirmación ni bienvenida</t>
  </si>
  <si>
    <t xml:space="preserve">15 min</t>
  </si>
  <si>
    <t xml:space="preserve">hotfix/smtp-fix</t>
  </si>
  <si>
    <t xml:space="preserve">Credenciales MP producción</t>
  </si>
  <si>
    <t xml:space="preserve">Las credenciales TEST- solo funcionan en sandbox. Necesita aprobación de MercadoPago (puede demorar días). Gestionar ASAP</t>
  </si>
  <si>
    <t xml:space="preserve">Externo (1-5 días)</t>
  </si>
  <si>
    <t xml:space="preserve">N/A</t>
  </si>
  <si>
    <t xml:space="preserve">🟡 IMPORTANTE</t>
  </si>
  <si>
    <t xml:space="preserve">Sistema de toast notifications</t>
  </si>
  <si>
    <t xml:space="preserve">No existe componente de toast global. Aunque ya no hay alert() nativos, un toast system mejora mucho la UX para feedback de acciones</t>
  </si>
  <si>
    <t xml:space="preserve">2-3 hrs</t>
  </si>
  <si>
    <t xml:space="preserve">feat/toast-system</t>
  </si>
  <si>
    <t xml:space="preserve">UI referral "Invitá amigos"</t>
  </si>
  <si>
    <t xml:space="preserve">La API de referidos existe y el código está en /puntos, pero falta una página/sección dedicada con compartir link, código QR, tracking de invitados</t>
  </si>
  <si>
    <t xml:space="preserve">3-4 hrs</t>
  </si>
  <si>
    <t xml:space="preserve">feat/referral-ui</t>
  </si>
  <si>
    <t xml:space="preserve">Rate limiting en APIs públicas</t>
  </si>
  <si>
    <t xml:space="preserve">Solo el login tiene rate limiting. Las APIs de órdenes, productos y búsqueda podrían ser abusadas. Implementar middleware global</t>
  </si>
  <si>
    <t xml:space="preserve">feat/rate-limiting</t>
  </si>
  <si>
    <t xml:space="preserve">Backups automáticos PostgreSQL</t>
  </si>
  <si>
    <t xml:space="preserve">Sin backups automatizados. Configurar pg_dump cron o usar servicio managed. Crítico antes de manejar datos de usuarios reales</t>
  </si>
  <si>
    <t xml:space="preserve">1-2 hrs</t>
  </si>
  <si>
    <t xml:space="preserve">feat/db-backups</t>
  </si>
  <si>
    <t xml:space="preserve">Testing E2E flujo completo</t>
  </si>
  <si>
    <t xml:space="preserve">Probar end-to-end: registro → compra → pago → confirmación comercio → asignación driver → delivery → calificación. Documentar resultados</t>
  </si>
  <si>
    <t xml:space="preserve">4-6 hrs</t>
  </si>
  <si>
    <t xml:space="preserve">CSRF protection</t>
  </si>
  <si>
    <t xml:space="preserve">No hay protección CSRF en formularios. Agregar tokens CSRF en forms críticos (checkout, configuración, perfil)</t>
  </si>
  <si>
    <t xml:space="preserve">feat/csrf</t>
  </si>
  <si>
    <t xml:space="preserve">🟢 NICE</t>
  </si>
  <si>
    <t xml:space="preserve">Logging estructurado (Pino/Winston)</t>
  </si>
  <si>
    <t xml:space="preserve">Reemplazar ~25 console.log en producción con logs estructurados. Facilita debugging y monitoreo en prod</t>
  </si>
  <si>
    <t xml:space="preserve">feat/structured-logging</t>
  </si>
  <si>
    <t xml:space="preserve">Backlog</t>
  </si>
  <si>
    <t xml:space="preserve">Cache layer (Redis)</t>
  </si>
  <si>
    <t xml:space="preserve">No hay caching. Analytics recalcula en cada request. Redis para datos frecuentes (config, analytics, catálogos)</t>
  </si>
  <si>
    <t xml:space="preserve">feat/redis-cache</t>
  </si>
  <si>
    <t xml:space="preserve">Health check independiente</t>
  </si>
  <si>
    <t xml:space="preserve">Crons corren dentro del socket-server. Si se cae, todos mueren. Necesita health check externo y posible separación</t>
  </si>
  <si>
    <t xml:space="preserve">feat/health-check</t>
  </si>
  <si>
    <t xml:space="preserve">Mover hardcodes a MoovyConfig</t>
  </si>
  <si>
    <t xml:space="preserve">Trigger pre-asignación (45min), thresholds de paquetes, radio PostGIS (50km), grace window (10s) están hardcodeados</t>
  </si>
  <si>
    <t xml:space="preserve">refactor/config-values</t>
  </si>
  <si>
    <t xml:space="preserve">Factura/comprobante digital</t>
  </si>
  <si>
    <t xml:space="preserve">Generación automática de comprobante de compra para el buyer. No es obligatorio legalmente pero mejora confianza</t>
  </si>
  <si>
    <t xml:space="preserve">feat/invoice</t>
  </si>
  <si>
    <t xml:space="preserve">Multi-ciudad</t>
  </si>
  <si>
    <t xml:space="preserve">Hardcodeado Ushuaia. Requiere arquitectura de selección de ciudad, zonas de cobertura, merchants por zona</t>
  </si>
  <si>
    <t xml:space="preserve">2-3 días</t>
  </si>
  <si>
    <t xml:space="preserve">feat/multi-city</t>
  </si>
  <si>
    <t xml:space="preserve">Split automático MP (Marketplace API)</t>
  </si>
  <si>
    <t xml:space="preserve">Actualmente los pagos son centralizados (MOOVY cobra todo y liquida después). El split automático requiere Marketplace API de MP</t>
  </si>
  <si>
    <t xml:space="preserve">3-5 días</t>
  </si>
  <si>
    <t xml:space="preserve">feat/mp-split</t>
  </si>
  <si>
    <t xml:space="preserve">App nativa iOS/Android</t>
  </si>
  <si>
    <t xml:space="preserve">PWA funciona pero app nativa mejora experiencia. Evaluar React Native / Expo. Proyecto separado</t>
  </si>
  <si>
    <t xml:space="preserve">Semanas</t>
  </si>
  <si>
    <t xml:space="preserve">RESUMEN</t>
  </si>
  <si>
    <t xml:space="preserve">Bloqueantes</t>
  </si>
  <si>
    <t xml:space="preserve">Importantes</t>
  </si>
  <si>
    <t xml:space="preserve">Nice to have</t>
  </si>
  <si>
    <t xml:space="preserve">TIMELINE SUGERIDO PARA LANZAMIENTO BETA</t>
  </si>
  <si>
    <t xml:space="preserve">Período</t>
  </si>
  <si>
    <t xml:space="preserve">Notas</t>
  </si>
  <si>
    <t xml:space="preserve">Día 1 (Hoy)</t>
  </si>
  <si>
    <t xml:space="preserve">Crear vercel.json para crons</t>
  </si>
  <si>
    <t xml:space="preserve">Config + deploy</t>
  </si>
  <si>
    <t xml:space="preserve">Configurar App Password Gmail en SMTP_PASS</t>
  </si>
  <si>
    <t xml:space="preserve">Cambio en .env de producción</t>
  </si>
  <si>
    <t xml:space="preserve">Iniciar trámite credenciales MP prod</t>
  </si>
  <si>
    <t xml:space="preserve">1 hr</t>
  </si>
  <si>
    <t xml:space="preserve">Contactar a MP, enviar docs</t>
  </si>
  <si>
    <t xml:space="preserve">Día 2-3</t>
  </si>
  <si>
    <t xml:space="preserve">Implementar toast system global</t>
  </si>
  <si>
    <t xml:space="preserve">Componente reutilizable + migrar feedback</t>
  </si>
  <si>
    <t xml:space="preserve">CSRF protection en forms críticos</t>
  </si>
  <si>
    <t xml:space="preserve">Checkout, perfil, config</t>
  </si>
  <si>
    <t xml:space="preserve">Configurar backups automáticos PostgreSQL</t>
  </si>
  <si>
    <t xml:space="preserve">pg_dump cron o managed service</t>
  </si>
  <si>
    <t xml:space="preserve">Día 4-5</t>
  </si>
  <si>
    <t xml:space="preserve">Middleware global</t>
  </si>
  <si>
    <t xml:space="preserve">UI de referidos "Invitá amigos"</t>
  </si>
  <si>
    <t xml:space="preserve">Página con QR, share link, tracking</t>
  </si>
  <si>
    <t xml:space="preserve">Semana 2</t>
  </si>
  <si>
    <t xml:space="preserve">Registro → compra → delivery → rating</t>
  </si>
  <si>
    <t xml:space="preserve">Onboarding 3-5 comercios piloto</t>
  </si>
  <si>
    <t xml:space="preserve">1-2 días</t>
  </si>
  <si>
    <t xml:space="preserve">Registrar, cargar productos, capacitar</t>
  </si>
  <si>
    <t xml:space="preserve">Onboarding 2-3 repartidores</t>
  </si>
  <si>
    <t xml:space="preserve">1 día</t>
  </si>
  <si>
    <t xml:space="preserve">Registro, docs, aprobación, prueba</t>
  </si>
  <si>
    <t xml:space="preserve">Semana 3</t>
  </si>
  <si>
    <t xml:space="preserve">Beta cerrada con usuarios reales</t>
  </si>
  <si>
    <t xml:space="preserve">Monitorear, iterar, fix bugs</t>
  </si>
  <si>
    <t xml:space="preserve">Recibir credenciales MP producción</t>
  </si>
  <si>
    <t xml:space="preserve">Activar pagos reales</t>
  </si>
  <si>
    <t xml:space="preserve">Semana 4</t>
  </si>
  <si>
    <t xml:space="preserve">Beta abierta en Ushuaia</t>
  </si>
  <si>
    <t xml:space="preserve">Lanzamiento público</t>
  </si>
  <si>
    <t xml:space="preserve">FEATURES QUE NO EXISTEN TODAVÍA (Post-Lanzamiento)</t>
  </si>
  <si>
    <t xml:space="preserve">Feature</t>
  </si>
  <si>
    <t xml:space="preserve">Esfuerzo Est.</t>
  </si>
  <si>
    <t xml:space="preserve">Pago con MP en producción</t>
  </si>
  <si>
    <t xml:space="preserve">Requiere credenciales productivas de MercadoPago</t>
  </si>
  <si>
    <t xml:space="preserve">1-5 días (externo)</t>
  </si>
  <si>
    <t xml:space="preserve">Split automático entre vendedores</t>
  </si>
  <si>
    <t xml:space="preserve">Requiere Marketplace API de MercadoPago</t>
  </si>
  <si>
    <t xml:space="preserve">Múltiples ciudades</t>
  </si>
  <si>
    <t xml:space="preserve">Hardcodeado Ushuaia. Requiere zona de cobertura por ciudad</t>
  </si>
  <si>
    <t xml:space="preserve">PWA funciona pero experiencia nativa es mejor</t>
  </si>
  <si>
    <t xml:space="preserve">Cache layer Redis</t>
  </si>
  <si>
    <t xml:space="preserve">Analytics recalcula cada request. Config/catálogos sin cache</t>
  </si>
  <si>
    <t xml:space="preserve">Logging estructurado</t>
  </si>
  <si>
    <t xml:space="preserve">Reemplazar console.log con Pino o Winston</t>
  </si>
  <si>
    <t xml:space="preserve">Generación automática post-compra</t>
  </si>
  <si>
    <t xml:space="preserve">Health check independiente para crons</t>
  </si>
  <si>
    <t xml:space="preserve">Si socket-server cae, todos los crons mueren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</si>
</sst>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3"/>
      <color rgb="FF1F2937"/>
      <name val="Arial"/>
      <family val="0"/>
      <charset val="1"/>
    </font>
    <font>
      <sz val="11"/>
      <color rgb="FF1F2937"/>
      <name val="Arial"/>
      <family val="0"/>
      <charset val="1"/>
    </font>
    <font>
      <b val="true"/>
      <sz val="11"/>
      <color rgb="FF065F46"/>
      <name val="Arial"/>
      <family val="0"/>
      <charset val="1"/>
    </font>
    <font>
      <b val="true"/>
      <sz val="11"/>
      <color rgb="FF991B1B"/>
      <name val="Arial"/>
      <family val="0"/>
      <charset val="1"/>
    </font>
    <font>
      <b val="true"/>
      <sz val="11"/>
      <color rgb="FF92400E"/>
      <name val="Arial"/>
      <family val="0"/>
      <charset val="1"/>
    </font>
    <font>
      <b val="true"/>
      <sz val="11"/>
      <color rgb="FF1E40AF"/>
      <name val="Arial"/>
      <family val="0"/>
      <charset val="1"/>
    </font>
    <font>
      <b val="true"/>
      <sz val="13"/>
      <color rgb="FF065F46"/>
      <name val="Arial"/>
      <family val="0"/>
      <charset val="1"/>
    </font>
    <font>
      <sz val="11"/>
      <color rgb="FF065F46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10"/>
      <color rgb="FF4B5563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6B728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1FAE5"/>
        <bgColor rgb="FFDBEAFE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EFF6FF"/>
      </patternFill>
    </fill>
    <fill>
      <patternFill patternType="solid">
        <fgColor rgb="FF6B21A8"/>
        <bgColor rgb="FF800080"/>
      </patternFill>
    </fill>
    <fill>
      <patternFill patternType="solid">
        <fgColor rgb="FF2563EB"/>
        <bgColor rgb="FF0066CC"/>
      </patternFill>
    </fill>
    <fill>
      <patternFill patternType="solid">
        <fgColor rgb="FFEFF6FF"/>
        <bgColor rgb="FFFFFFFF"/>
      </patternFill>
    </fill>
    <fill>
      <patternFill patternType="solid">
        <fgColor rgb="FF059669"/>
        <bgColor rgb="FF3399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6B21A8"/>
      <rgbColor rgb="FF059669"/>
      <rgbColor rgb="FFC0C0C0"/>
      <rgbColor rgb="FF4B5563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EFF6FF"/>
      <rgbColor rgb="FFD1FAE5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74151"/>
      <rgbColor rgb="FF92400E"/>
      <rgbColor rgb="FF993366"/>
      <rgbColor rgb="FF1E40A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21A8"/>
    <pageSetUpPr fitToPage="false"/>
  </sheetPr>
  <dimension ref="B2:D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50"/>
  </cols>
  <sheetData>
    <row r="2" customFormat="false" ht="19.7" hidden="false" customHeight="fals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2" t="s">
        <v>1</v>
      </c>
      <c r="C3" s="2"/>
      <c r="D3" s="2"/>
    </row>
    <row r="5" customFormat="false" ht="16.15" hidden="false" customHeight="false" outlineLevel="0" collapsed="false">
      <c r="B5" s="3" t="s">
        <v>2</v>
      </c>
      <c r="C5" s="3"/>
      <c r="D5" s="3"/>
    </row>
    <row r="7" customFormat="false" ht="15" hidden="false" customHeight="false" outlineLevel="0" collapsed="false">
      <c r="B7" s="4" t="s">
        <v>3</v>
      </c>
      <c r="C7" s="5" t="s">
        <v>4</v>
      </c>
      <c r="D7" s="5"/>
    </row>
    <row r="8" customFormat="false" ht="15" hidden="false" customHeight="false" outlineLevel="0" collapsed="false">
      <c r="B8" s="4" t="s">
        <v>5</v>
      </c>
      <c r="C8" s="5" t="s">
        <v>6</v>
      </c>
      <c r="D8" s="5"/>
    </row>
    <row r="9" customFormat="false" ht="15" hidden="false" customHeight="false" outlineLevel="0" collapsed="false">
      <c r="B9" s="4" t="s">
        <v>7</v>
      </c>
      <c r="C9" s="5" t="s">
        <v>8</v>
      </c>
      <c r="D9" s="5"/>
    </row>
    <row r="10" customFormat="false" ht="15" hidden="false" customHeight="false" outlineLevel="0" collapsed="false">
      <c r="B10" s="4" t="s">
        <v>9</v>
      </c>
      <c r="C10" s="5" t="s">
        <v>10</v>
      </c>
      <c r="D10" s="5"/>
    </row>
    <row r="11" customFormat="false" ht="15" hidden="false" customHeight="false" outlineLevel="0" collapsed="false">
      <c r="B11" s="4" t="s">
        <v>11</v>
      </c>
      <c r="C11" s="5" t="s">
        <v>12</v>
      </c>
      <c r="D11" s="5"/>
    </row>
    <row r="12" customFormat="false" ht="15" hidden="false" customHeight="false" outlineLevel="0" collapsed="false">
      <c r="B12" s="4" t="s">
        <v>13</v>
      </c>
      <c r="C12" s="5" t="s">
        <v>14</v>
      </c>
      <c r="D12" s="5"/>
    </row>
    <row r="13" customFormat="false" ht="15" hidden="false" customHeight="false" outlineLevel="0" collapsed="false">
      <c r="B13" s="4" t="s">
        <v>15</v>
      </c>
      <c r="C13" s="5" t="s">
        <v>16</v>
      </c>
      <c r="D13" s="5"/>
    </row>
    <row r="14" customFormat="false" ht="15" hidden="false" customHeight="false" outlineLevel="0" collapsed="false">
      <c r="B14" s="4" t="s">
        <v>17</v>
      </c>
      <c r="C14" s="6" t="s">
        <v>18</v>
      </c>
      <c r="D14" s="6"/>
    </row>
    <row r="15" customFormat="false" ht="15" hidden="false" customHeight="false" outlineLevel="0" collapsed="false">
      <c r="B15" s="4" t="s">
        <v>19</v>
      </c>
      <c r="C15" s="7" t="s">
        <v>20</v>
      </c>
      <c r="D15" s="7"/>
    </row>
    <row r="16" customFormat="false" ht="15" hidden="false" customHeight="false" outlineLevel="0" collapsed="false">
      <c r="B16" s="4" t="s">
        <v>21</v>
      </c>
      <c r="C16" s="8" t="s">
        <v>22</v>
      </c>
      <c r="D16" s="8"/>
    </row>
    <row r="19" customFormat="false" ht="16.15" hidden="false" customHeight="false" outlineLevel="0" collapsed="false">
      <c r="B19" s="9" t="s">
        <v>23</v>
      </c>
      <c r="C19" s="9"/>
      <c r="D19" s="9"/>
    </row>
    <row r="20" customFormat="false" ht="15" hidden="false" customHeight="false" outlineLevel="0" collapsed="false">
      <c r="B20" s="10" t="s">
        <v>24</v>
      </c>
      <c r="C20" s="11" t="s">
        <v>25</v>
      </c>
      <c r="D20" s="11"/>
    </row>
    <row r="21" customFormat="false" ht="15" hidden="false" customHeight="false" outlineLevel="0" collapsed="false">
      <c r="B21" s="10" t="s">
        <v>24</v>
      </c>
      <c r="C21" s="11" t="s">
        <v>26</v>
      </c>
      <c r="D21" s="11"/>
    </row>
    <row r="22" customFormat="false" ht="15" hidden="false" customHeight="false" outlineLevel="0" collapsed="false">
      <c r="B22" s="10" t="s">
        <v>24</v>
      </c>
      <c r="C22" s="11" t="s">
        <v>27</v>
      </c>
      <c r="D22" s="11"/>
    </row>
    <row r="23" customFormat="false" ht="15" hidden="false" customHeight="false" outlineLevel="0" collapsed="false">
      <c r="B23" s="10" t="s">
        <v>24</v>
      </c>
      <c r="C23" s="11" t="s">
        <v>28</v>
      </c>
      <c r="D23" s="11"/>
    </row>
    <row r="24" customFormat="false" ht="15" hidden="false" customHeight="false" outlineLevel="0" collapsed="false">
      <c r="B24" s="10" t="s">
        <v>24</v>
      </c>
      <c r="C24" s="11" t="s">
        <v>29</v>
      </c>
      <c r="D24" s="11"/>
    </row>
    <row r="25" customFormat="false" ht="15" hidden="false" customHeight="false" outlineLevel="0" collapsed="false">
      <c r="B25" s="10" t="s">
        <v>24</v>
      </c>
      <c r="C25" s="11" t="s">
        <v>30</v>
      </c>
      <c r="D25" s="11"/>
    </row>
    <row r="26" customFormat="false" ht="15" hidden="false" customHeight="false" outlineLevel="0" collapsed="false">
      <c r="B26" s="10" t="s">
        <v>24</v>
      </c>
      <c r="C26" s="11" t="s">
        <v>31</v>
      </c>
      <c r="D26" s="11"/>
    </row>
    <row r="27" customFormat="false" ht="15" hidden="false" customHeight="false" outlineLevel="0" collapsed="false">
      <c r="B27" s="10" t="s">
        <v>24</v>
      </c>
      <c r="C27" s="11" t="s">
        <v>32</v>
      </c>
      <c r="D27" s="11"/>
    </row>
    <row r="28" customFormat="false" ht="15" hidden="false" customHeight="false" outlineLevel="0" collapsed="false">
      <c r="B28" s="10" t="s">
        <v>24</v>
      </c>
      <c r="C28" s="11" t="s">
        <v>33</v>
      </c>
      <c r="D28" s="11"/>
    </row>
    <row r="29" customFormat="false" ht="15" hidden="false" customHeight="false" outlineLevel="0" collapsed="false">
      <c r="B29" s="10" t="s">
        <v>24</v>
      </c>
      <c r="C29" s="11" t="s">
        <v>34</v>
      </c>
      <c r="D29" s="11"/>
    </row>
    <row r="30" customFormat="false" ht="15" hidden="false" customHeight="false" outlineLevel="0" collapsed="false">
      <c r="B30" s="10" t="s">
        <v>24</v>
      </c>
      <c r="C30" s="11" t="s">
        <v>35</v>
      </c>
      <c r="D30" s="11"/>
    </row>
    <row r="31" customFormat="false" ht="15" hidden="false" customHeight="false" outlineLevel="0" collapsed="false">
      <c r="B31" s="10" t="s">
        <v>24</v>
      </c>
      <c r="C31" s="11" t="s">
        <v>36</v>
      </c>
      <c r="D31" s="11"/>
    </row>
    <row r="32" customFormat="false" ht="15" hidden="false" customHeight="false" outlineLevel="0" collapsed="false">
      <c r="B32" s="10" t="s">
        <v>24</v>
      </c>
      <c r="C32" s="11" t="s">
        <v>37</v>
      </c>
      <c r="D32" s="11"/>
    </row>
    <row r="33" customFormat="false" ht="15" hidden="false" customHeight="false" outlineLevel="0" collapsed="false">
      <c r="B33" s="10" t="s">
        <v>24</v>
      </c>
      <c r="C33" s="11" t="s">
        <v>38</v>
      </c>
      <c r="D33" s="11"/>
    </row>
    <row r="34" customFormat="false" ht="15" hidden="false" customHeight="false" outlineLevel="0" collapsed="false">
      <c r="B34" s="10" t="s">
        <v>24</v>
      </c>
      <c r="C34" s="11" t="s">
        <v>39</v>
      </c>
      <c r="D34" s="11"/>
    </row>
    <row r="35" customFormat="false" ht="15" hidden="false" customHeight="false" outlineLevel="0" collapsed="false">
      <c r="B35" s="10" t="s">
        <v>24</v>
      </c>
      <c r="C35" s="11" t="s">
        <v>40</v>
      </c>
      <c r="D35" s="11"/>
    </row>
    <row r="36" customFormat="false" ht="15" hidden="false" customHeight="false" outlineLevel="0" collapsed="false">
      <c r="B36" s="10" t="s">
        <v>24</v>
      </c>
      <c r="C36" s="11" t="s">
        <v>41</v>
      </c>
      <c r="D36" s="11"/>
    </row>
    <row r="37" customFormat="false" ht="15" hidden="false" customHeight="false" outlineLevel="0" collapsed="false">
      <c r="B37" s="10" t="s">
        <v>24</v>
      </c>
      <c r="C37" s="11" t="s">
        <v>42</v>
      </c>
      <c r="D37" s="11"/>
    </row>
    <row r="38" customFormat="false" ht="15" hidden="false" customHeight="false" outlineLevel="0" collapsed="false">
      <c r="B38" s="10" t="s">
        <v>24</v>
      </c>
      <c r="C38" s="11" t="s">
        <v>43</v>
      </c>
      <c r="D38" s="11"/>
    </row>
    <row r="39" customFormat="false" ht="15" hidden="false" customHeight="false" outlineLevel="0" collapsed="false">
      <c r="B39" s="10" t="s">
        <v>24</v>
      </c>
      <c r="C39" s="11" t="s">
        <v>44</v>
      </c>
      <c r="D39" s="11"/>
    </row>
    <row r="40" customFormat="false" ht="15" hidden="false" customHeight="false" outlineLevel="0" collapsed="false">
      <c r="B40" s="10" t="s">
        <v>24</v>
      </c>
      <c r="C40" s="11" t="s">
        <v>45</v>
      </c>
      <c r="D40" s="11"/>
    </row>
    <row r="41" customFormat="false" ht="15" hidden="false" customHeight="false" outlineLevel="0" collapsed="false">
      <c r="B41" s="10" t="s">
        <v>24</v>
      </c>
      <c r="C41" s="11" t="s">
        <v>46</v>
      </c>
      <c r="D41" s="11"/>
    </row>
    <row r="42" customFormat="false" ht="15" hidden="false" customHeight="false" outlineLevel="0" collapsed="false">
      <c r="B42" s="10" t="s">
        <v>24</v>
      </c>
      <c r="C42" s="11" t="s">
        <v>47</v>
      </c>
      <c r="D42" s="11"/>
    </row>
  </sheetData>
  <mergeCells count="37">
    <mergeCell ref="B2:D2"/>
    <mergeCell ref="B3:D3"/>
    <mergeCell ref="B5:D5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B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B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50"/>
    <col collapsed="false" customWidth="true" hidden="false" outlineLevel="0" max="7" min="6" style="0" width="14"/>
    <col collapsed="false" customWidth="true" hidden="false" outlineLevel="0" max="8" min="8" style="0" width="18"/>
  </cols>
  <sheetData>
    <row r="2" customFormat="false" ht="19.7" hidden="false" customHeight="false" outlineLevel="0" collapsed="false">
      <c r="B2" s="1" t="s">
        <v>48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2" t="s">
        <v>49</v>
      </c>
      <c r="C4" s="12" t="s">
        <v>50</v>
      </c>
      <c r="D4" s="12" t="s">
        <v>51</v>
      </c>
      <c r="E4" s="12" t="s">
        <v>52</v>
      </c>
      <c r="F4" s="12" t="s">
        <v>53</v>
      </c>
      <c r="G4" s="12" t="s">
        <v>54</v>
      </c>
      <c r="H4" s="12" t="s">
        <v>55</v>
      </c>
    </row>
    <row r="5" customFormat="false" ht="35.05" hidden="false" customHeight="false" outlineLevel="0" collapsed="false">
      <c r="B5" s="13" t="n">
        <v>1</v>
      </c>
      <c r="C5" s="14" t="s">
        <v>56</v>
      </c>
      <c r="D5" s="15" t="s">
        <v>57</v>
      </c>
      <c r="E5" s="16" t="s">
        <v>58</v>
      </c>
      <c r="F5" s="13" t="s">
        <v>59</v>
      </c>
      <c r="G5" s="17" t="s">
        <v>60</v>
      </c>
      <c r="H5" s="14" t="s">
        <v>61</v>
      </c>
    </row>
    <row r="6" customFormat="false" ht="35.05" hidden="false" customHeight="false" outlineLevel="0" collapsed="false">
      <c r="B6" s="13" t="n">
        <v>2</v>
      </c>
      <c r="C6" s="14" t="s">
        <v>56</v>
      </c>
      <c r="D6" s="15" t="s">
        <v>62</v>
      </c>
      <c r="E6" s="16" t="s">
        <v>63</v>
      </c>
      <c r="F6" s="13" t="s">
        <v>64</v>
      </c>
      <c r="G6" s="17" t="s">
        <v>65</v>
      </c>
      <c r="H6" s="14" t="s">
        <v>61</v>
      </c>
    </row>
    <row r="7" customFormat="false" ht="35.05" hidden="false" customHeight="false" outlineLevel="0" collapsed="false">
      <c r="B7" s="13" t="n">
        <v>3</v>
      </c>
      <c r="C7" s="14" t="s">
        <v>56</v>
      </c>
      <c r="D7" s="15" t="s">
        <v>66</v>
      </c>
      <c r="E7" s="16" t="s">
        <v>67</v>
      </c>
      <c r="F7" s="13" t="s">
        <v>68</v>
      </c>
      <c r="G7" s="17" t="s">
        <v>69</v>
      </c>
      <c r="H7" s="14" t="s">
        <v>61</v>
      </c>
    </row>
    <row r="8" customFormat="false" ht="35.05" hidden="false" customHeight="false" outlineLevel="0" collapsed="false">
      <c r="B8" s="13" t="n">
        <v>4</v>
      </c>
      <c r="C8" s="18" t="s">
        <v>70</v>
      </c>
      <c r="D8" s="15" t="s">
        <v>71</v>
      </c>
      <c r="E8" s="16" t="s">
        <v>72</v>
      </c>
      <c r="F8" s="13" t="s">
        <v>73</v>
      </c>
      <c r="G8" s="17" t="s">
        <v>74</v>
      </c>
      <c r="H8" s="18" t="s">
        <v>61</v>
      </c>
    </row>
    <row r="9" customFormat="false" ht="35.05" hidden="false" customHeight="false" outlineLevel="0" collapsed="false">
      <c r="B9" s="13" t="n">
        <v>5</v>
      </c>
      <c r="C9" s="18" t="s">
        <v>70</v>
      </c>
      <c r="D9" s="15" t="s">
        <v>75</v>
      </c>
      <c r="E9" s="16" t="s">
        <v>76</v>
      </c>
      <c r="F9" s="13" t="s">
        <v>77</v>
      </c>
      <c r="G9" s="17" t="s">
        <v>78</v>
      </c>
      <c r="H9" s="18" t="s">
        <v>61</v>
      </c>
    </row>
    <row r="10" customFormat="false" ht="35.05" hidden="false" customHeight="false" outlineLevel="0" collapsed="false">
      <c r="B10" s="13" t="n">
        <v>6</v>
      </c>
      <c r="C10" s="18" t="s">
        <v>70</v>
      </c>
      <c r="D10" s="15" t="s">
        <v>79</v>
      </c>
      <c r="E10" s="16" t="s">
        <v>80</v>
      </c>
      <c r="F10" s="13" t="s">
        <v>73</v>
      </c>
      <c r="G10" s="17" t="s">
        <v>81</v>
      </c>
      <c r="H10" s="18" t="s">
        <v>61</v>
      </c>
    </row>
    <row r="11" customFormat="false" ht="35.05" hidden="false" customHeight="false" outlineLevel="0" collapsed="false">
      <c r="B11" s="13" t="n">
        <v>7</v>
      </c>
      <c r="C11" s="18" t="s">
        <v>70</v>
      </c>
      <c r="D11" s="15" t="s">
        <v>82</v>
      </c>
      <c r="E11" s="16" t="s">
        <v>83</v>
      </c>
      <c r="F11" s="13" t="s">
        <v>84</v>
      </c>
      <c r="G11" s="17" t="s">
        <v>85</v>
      </c>
      <c r="H11" s="18" t="s">
        <v>61</v>
      </c>
    </row>
    <row r="12" customFormat="false" ht="35.05" hidden="false" customHeight="false" outlineLevel="0" collapsed="false">
      <c r="B12" s="13" t="n">
        <v>8</v>
      </c>
      <c r="C12" s="18" t="s">
        <v>70</v>
      </c>
      <c r="D12" s="15" t="s">
        <v>86</v>
      </c>
      <c r="E12" s="16" t="s">
        <v>87</v>
      </c>
      <c r="F12" s="13" t="s">
        <v>88</v>
      </c>
      <c r="G12" s="17" t="s">
        <v>69</v>
      </c>
      <c r="H12" s="18" t="s">
        <v>61</v>
      </c>
    </row>
    <row r="13" customFormat="false" ht="23.85" hidden="false" customHeight="false" outlineLevel="0" collapsed="false">
      <c r="B13" s="13" t="n">
        <v>9</v>
      </c>
      <c r="C13" s="18" t="s">
        <v>70</v>
      </c>
      <c r="D13" s="15" t="s">
        <v>89</v>
      </c>
      <c r="E13" s="16" t="s">
        <v>90</v>
      </c>
      <c r="F13" s="13" t="s">
        <v>73</v>
      </c>
      <c r="G13" s="17" t="s">
        <v>91</v>
      </c>
      <c r="H13" s="18" t="s">
        <v>61</v>
      </c>
    </row>
    <row r="14" customFormat="false" ht="23.85" hidden="false" customHeight="false" outlineLevel="0" collapsed="false">
      <c r="B14" s="13" t="n">
        <v>10</v>
      </c>
      <c r="C14" s="19" t="s">
        <v>92</v>
      </c>
      <c r="D14" s="15" t="s">
        <v>93</v>
      </c>
      <c r="E14" s="16" t="s">
        <v>94</v>
      </c>
      <c r="F14" s="13" t="s">
        <v>73</v>
      </c>
      <c r="G14" s="17" t="s">
        <v>95</v>
      </c>
      <c r="H14" s="19" t="s">
        <v>96</v>
      </c>
    </row>
    <row r="15" customFormat="false" ht="23.85" hidden="false" customHeight="false" outlineLevel="0" collapsed="false">
      <c r="B15" s="13" t="n">
        <v>11</v>
      </c>
      <c r="C15" s="19" t="s">
        <v>92</v>
      </c>
      <c r="D15" s="15" t="s">
        <v>97</v>
      </c>
      <c r="E15" s="16" t="s">
        <v>98</v>
      </c>
      <c r="F15" s="13" t="s">
        <v>88</v>
      </c>
      <c r="G15" s="17" t="s">
        <v>99</v>
      </c>
      <c r="H15" s="19" t="s">
        <v>96</v>
      </c>
    </row>
    <row r="16" customFormat="false" ht="23.85" hidden="false" customHeight="false" outlineLevel="0" collapsed="false">
      <c r="B16" s="13" t="n">
        <v>12</v>
      </c>
      <c r="C16" s="19" t="s">
        <v>92</v>
      </c>
      <c r="D16" s="15" t="s">
        <v>100</v>
      </c>
      <c r="E16" s="16" t="s">
        <v>101</v>
      </c>
      <c r="F16" s="13" t="s">
        <v>73</v>
      </c>
      <c r="G16" s="17" t="s">
        <v>102</v>
      </c>
      <c r="H16" s="19" t="s">
        <v>96</v>
      </c>
    </row>
    <row r="17" customFormat="false" ht="35.05" hidden="false" customHeight="false" outlineLevel="0" collapsed="false">
      <c r="B17" s="13" t="n">
        <v>13</v>
      </c>
      <c r="C17" s="19" t="s">
        <v>92</v>
      </c>
      <c r="D17" s="15" t="s">
        <v>103</v>
      </c>
      <c r="E17" s="16" t="s">
        <v>104</v>
      </c>
      <c r="F17" s="13" t="s">
        <v>84</v>
      </c>
      <c r="G17" s="17" t="s">
        <v>105</v>
      </c>
      <c r="H17" s="19" t="s">
        <v>96</v>
      </c>
    </row>
    <row r="18" customFormat="false" ht="23.85" hidden="false" customHeight="false" outlineLevel="0" collapsed="false">
      <c r="B18" s="13" t="n">
        <v>14</v>
      </c>
      <c r="C18" s="19" t="s">
        <v>92</v>
      </c>
      <c r="D18" s="15" t="s">
        <v>106</v>
      </c>
      <c r="E18" s="16" t="s">
        <v>107</v>
      </c>
      <c r="F18" s="13" t="s">
        <v>88</v>
      </c>
      <c r="G18" s="17" t="s">
        <v>108</v>
      </c>
      <c r="H18" s="19" t="s">
        <v>96</v>
      </c>
    </row>
    <row r="19" customFormat="false" ht="23.85" hidden="false" customHeight="false" outlineLevel="0" collapsed="false">
      <c r="B19" s="13" t="n">
        <v>15</v>
      </c>
      <c r="C19" s="19" t="s">
        <v>92</v>
      </c>
      <c r="D19" s="15" t="s">
        <v>109</v>
      </c>
      <c r="E19" s="16" t="s">
        <v>110</v>
      </c>
      <c r="F19" s="13" t="s">
        <v>111</v>
      </c>
      <c r="G19" s="17" t="s">
        <v>112</v>
      </c>
      <c r="H19" s="19" t="s">
        <v>96</v>
      </c>
    </row>
    <row r="20" customFormat="false" ht="35.05" hidden="false" customHeight="false" outlineLevel="0" collapsed="false">
      <c r="B20" s="13" t="n">
        <v>16</v>
      </c>
      <c r="C20" s="19" t="s">
        <v>92</v>
      </c>
      <c r="D20" s="15" t="s">
        <v>113</v>
      </c>
      <c r="E20" s="16" t="s">
        <v>114</v>
      </c>
      <c r="F20" s="13" t="s">
        <v>115</v>
      </c>
      <c r="G20" s="17" t="s">
        <v>116</v>
      </c>
      <c r="H20" s="19" t="s">
        <v>96</v>
      </c>
    </row>
    <row r="21" customFormat="false" ht="23.85" hidden="false" customHeight="false" outlineLevel="0" collapsed="false">
      <c r="B21" s="13" t="n">
        <v>17</v>
      </c>
      <c r="C21" s="19" t="s">
        <v>92</v>
      </c>
      <c r="D21" s="15" t="s">
        <v>117</v>
      </c>
      <c r="E21" s="16" t="s">
        <v>118</v>
      </c>
      <c r="F21" s="13" t="s">
        <v>119</v>
      </c>
      <c r="G21" s="17" t="s">
        <v>69</v>
      </c>
      <c r="H21" s="19" t="s">
        <v>96</v>
      </c>
    </row>
    <row r="24" customFormat="false" ht="15" hidden="false" customHeight="false" outlineLevel="0" collapsed="false">
      <c r="B24" s="20" t="s">
        <v>120</v>
      </c>
      <c r="C24" s="20"/>
      <c r="D24" s="20"/>
    </row>
    <row r="25" customFormat="false" ht="15" hidden="false" customHeight="false" outlineLevel="0" collapsed="false">
      <c r="C25" s="21" t="s">
        <v>121</v>
      </c>
      <c r="D25" s="22" t="n">
        <f aca="false">COUNTIF(C5:C21,"*BLOCKER*")</f>
        <v>3</v>
      </c>
    </row>
    <row r="26" customFormat="false" ht="15" hidden="false" customHeight="false" outlineLevel="0" collapsed="false">
      <c r="C26" s="23" t="s">
        <v>122</v>
      </c>
      <c r="D26" s="22" t="n">
        <f aca="false">COUNTIF(C5:C21,"*IMPORTANTE*")</f>
        <v>6</v>
      </c>
    </row>
    <row r="27" customFormat="false" ht="15" hidden="false" customHeight="false" outlineLevel="0" collapsed="false">
      <c r="C27" s="24" t="s">
        <v>123</v>
      </c>
      <c r="D27" s="22" t="n">
        <f aca="false">COUNTIF(C5:C21,"*NICE*")</f>
        <v>8</v>
      </c>
    </row>
  </sheetData>
  <mergeCells count="2">
    <mergeCell ref="B2:H2"/>
    <mergeCell ref="B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45"/>
    <col collapsed="false" customWidth="true" hidden="false" outlineLevel="0" max="4" min="4" style="0" width="16"/>
    <col collapsed="false" customWidth="true" hidden="false" outlineLevel="0" max="5" min="5" style="0" width="40"/>
  </cols>
  <sheetData>
    <row r="2" customFormat="false" ht="19.7" hidden="false" customHeight="false" outlineLevel="0" collapsed="false">
      <c r="B2" s="1" t="s">
        <v>124</v>
      </c>
      <c r="C2" s="1"/>
      <c r="D2" s="1"/>
      <c r="E2" s="1"/>
    </row>
    <row r="4" customFormat="false" ht="15" hidden="false" customHeight="false" outlineLevel="0" collapsed="false">
      <c r="B4" s="25" t="s">
        <v>125</v>
      </c>
      <c r="C4" s="25" t="s">
        <v>51</v>
      </c>
      <c r="D4" s="25" t="s">
        <v>53</v>
      </c>
      <c r="E4" s="25" t="s">
        <v>126</v>
      </c>
    </row>
    <row r="5" customFormat="false" ht="15" hidden="false" customHeight="false" outlineLevel="0" collapsed="false">
      <c r="B5" s="26" t="s">
        <v>127</v>
      </c>
      <c r="C5" s="27" t="s">
        <v>128</v>
      </c>
      <c r="D5" s="28" t="s">
        <v>59</v>
      </c>
      <c r="E5" s="29" t="s">
        <v>129</v>
      </c>
    </row>
    <row r="6" customFormat="false" ht="15" hidden="false" customHeight="false" outlineLevel="0" collapsed="false">
      <c r="B6" s="4"/>
      <c r="C6" s="4" t="s">
        <v>130</v>
      </c>
      <c r="D6" s="30" t="s">
        <v>64</v>
      </c>
      <c r="E6" s="31" t="s">
        <v>131</v>
      </c>
    </row>
    <row r="7" customFormat="false" ht="15" hidden="false" customHeight="false" outlineLevel="0" collapsed="false">
      <c r="B7" s="4"/>
      <c r="C7" s="4" t="s">
        <v>132</v>
      </c>
      <c r="D7" s="30" t="s">
        <v>133</v>
      </c>
      <c r="E7" s="31" t="s">
        <v>134</v>
      </c>
    </row>
    <row r="8" customFormat="false" ht="15" hidden="false" customHeight="false" outlineLevel="0" collapsed="false">
      <c r="B8" s="26" t="s">
        <v>135</v>
      </c>
      <c r="C8" s="27" t="s">
        <v>136</v>
      </c>
      <c r="D8" s="28" t="s">
        <v>73</v>
      </c>
      <c r="E8" s="29" t="s">
        <v>137</v>
      </c>
    </row>
    <row r="9" customFormat="false" ht="15" hidden="false" customHeight="false" outlineLevel="0" collapsed="false">
      <c r="B9" s="4"/>
      <c r="C9" s="4" t="s">
        <v>138</v>
      </c>
      <c r="D9" s="30" t="s">
        <v>73</v>
      </c>
      <c r="E9" s="31" t="s">
        <v>139</v>
      </c>
    </row>
    <row r="10" customFormat="false" ht="15" hidden="false" customHeight="false" outlineLevel="0" collapsed="false">
      <c r="B10" s="4"/>
      <c r="C10" s="4" t="s">
        <v>140</v>
      </c>
      <c r="D10" s="30" t="s">
        <v>84</v>
      </c>
      <c r="E10" s="31" t="s">
        <v>141</v>
      </c>
    </row>
    <row r="11" customFormat="false" ht="15" hidden="false" customHeight="false" outlineLevel="0" collapsed="false">
      <c r="B11" s="26" t="s">
        <v>142</v>
      </c>
      <c r="C11" s="27" t="s">
        <v>79</v>
      </c>
      <c r="D11" s="28" t="s">
        <v>73</v>
      </c>
      <c r="E11" s="29" t="s">
        <v>143</v>
      </c>
    </row>
    <row r="12" customFormat="false" ht="15" hidden="false" customHeight="false" outlineLevel="0" collapsed="false">
      <c r="B12" s="4"/>
      <c r="C12" s="4" t="s">
        <v>144</v>
      </c>
      <c r="D12" s="30" t="s">
        <v>77</v>
      </c>
      <c r="E12" s="31" t="s">
        <v>145</v>
      </c>
    </row>
    <row r="13" customFormat="false" ht="15" hidden="false" customHeight="false" outlineLevel="0" collapsed="false">
      <c r="B13" s="26" t="s">
        <v>146</v>
      </c>
      <c r="C13" s="27" t="s">
        <v>86</v>
      </c>
      <c r="D13" s="28" t="s">
        <v>88</v>
      </c>
      <c r="E13" s="29" t="s">
        <v>147</v>
      </c>
    </row>
    <row r="14" customFormat="false" ht="15" hidden="false" customHeight="false" outlineLevel="0" collapsed="false">
      <c r="B14" s="4"/>
      <c r="C14" s="4" t="s">
        <v>148</v>
      </c>
      <c r="D14" s="30" t="s">
        <v>149</v>
      </c>
      <c r="E14" s="31" t="s">
        <v>150</v>
      </c>
    </row>
    <row r="15" customFormat="false" ht="15" hidden="false" customHeight="false" outlineLevel="0" collapsed="false">
      <c r="B15" s="4"/>
      <c r="C15" s="4" t="s">
        <v>151</v>
      </c>
      <c r="D15" s="30" t="s">
        <v>152</v>
      </c>
      <c r="E15" s="31" t="s">
        <v>153</v>
      </c>
    </row>
    <row r="16" customFormat="false" ht="15" hidden="false" customHeight="false" outlineLevel="0" collapsed="false">
      <c r="B16" s="26" t="s">
        <v>154</v>
      </c>
      <c r="C16" s="27" t="s">
        <v>155</v>
      </c>
      <c r="D16" s="28"/>
      <c r="E16" s="29" t="s">
        <v>156</v>
      </c>
    </row>
    <row r="17" customFormat="false" ht="15" hidden="false" customHeight="false" outlineLevel="0" collapsed="false">
      <c r="B17" s="4"/>
      <c r="C17" s="4" t="s">
        <v>157</v>
      </c>
      <c r="D17" s="30"/>
      <c r="E17" s="31" t="s">
        <v>158</v>
      </c>
    </row>
    <row r="18" customFormat="false" ht="15" hidden="false" customHeight="false" outlineLevel="0" collapsed="false">
      <c r="B18" s="26" t="s">
        <v>159</v>
      </c>
      <c r="C18" s="27" t="s">
        <v>160</v>
      </c>
      <c r="D18" s="28"/>
      <c r="E18" s="29" t="s">
        <v>161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B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50"/>
    <col collapsed="false" customWidth="true" hidden="false" outlineLevel="0" max="4" min="4" style="0" width="16"/>
  </cols>
  <sheetData>
    <row r="2" customFormat="false" ht="19.7" hidden="false" customHeight="false" outlineLevel="0" collapsed="false">
      <c r="B2" s="1" t="s">
        <v>162</v>
      </c>
      <c r="C2" s="1"/>
      <c r="D2" s="1"/>
    </row>
    <row r="4" customFormat="false" ht="15" hidden="false" customHeight="false" outlineLevel="0" collapsed="false">
      <c r="B4" s="32" t="s">
        <v>163</v>
      </c>
      <c r="C4" s="32" t="s">
        <v>52</v>
      </c>
      <c r="D4" s="32" t="s">
        <v>164</v>
      </c>
    </row>
    <row r="5" customFormat="false" ht="15" hidden="false" customHeight="false" outlineLevel="0" collapsed="false">
      <c r="B5" s="15" t="s">
        <v>165</v>
      </c>
      <c r="C5" s="33" t="s">
        <v>166</v>
      </c>
      <c r="D5" s="30" t="s">
        <v>167</v>
      </c>
    </row>
    <row r="6" customFormat="false" ht="15" hidden="false" customHeight="false" outlineLevel="0" collapsed="false">
      <c r="B6" s="15" t="s">
        <v>168</v>
      </c>
      <c r="C6" s="33" t="s">
        <v>169</v>
      </c>
      <c r="D6" s="30" t="s">
        <v>115</v>
      </c>
    </row>
    <row r="7" customFormat="false" ht="23.85" hidden="false" customHeight="false" outlineLevel="0" collapsed="false">
      <c r="B7" s="15" t="s">
        <v>170</v>
      </c>
      <c r="C7" s="33" t="s">
        <v>171</v>
      </c>
      <c r="D7" s="30" t="s">
        <v>111</v>
      </c>
    </row>
    <row r="8" customFormat="false" ht="15" hidden="false" customHeight="false" outlineLevel="0" collapsed="false">
      <c r="B8" s="15" t="s">
        <v>117</v>
      </c>
      <c r="C8" s="33" t="s">
        <v>172</v>
      </c>
      <c r="D8" s="30" t="s">
        <v>119</v>
      </c>
    </row>
    <row r="9" customFormat="false" ht="15" hidden="false" customHeight="false" outlineLevel="0" collapsed="false">
      <c r="B9" s="15" t="s">
        <v>173</v>
      </c>
      <c r="C9" s="33" t="s">
        <v>174</v>
      </c>
      <c r="D9" s="30" t="s">
        <v>88</v>
      </c>
    </row>
    <row r="10" customFormat="false" ht="15" hidden="false" customHeight="false" outlineLevel="0" collapsed="false">
      <c r="B10" s="15" t="s">
        <v>175</v>
      </c>
      <c r="C10" s="33" t="s">
        <v>176</v>
      </c>
      <c r="D10" s="30" t="s">
        <v>73</v>
      </c>
    </row>
    <row r="11" customFormat="false" ht="15" hidden="false" customHeight="false" outlineLevel="0" collapsed="false">
      <c r="B11" s="15" t="s">
        <v>106</v>
      </c>
      <c r="C11" s="33" t="s">
        <v>177</v>
      </c>
      <c r="D11" s="30" t="s">
        <v>88</v>
      </c>
    </row>
    <row r="12" customFormat="false" ht="15" hidden="false" customHeight="false" outlineLevel="0" collapsed="false">
      <c r="B12" s="15" t="s">
        <v>178</v>
      </c>
      <c r="C12" s="33" t="s">
        <v>179</v>
      </c>
      <c r="D12" s="30" t="s">
        <v>73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2026-03-15T03:56:58Z</dcterms:created>
  <dc:creator>openpyxl</dc:creator>
  <dc:description/>
  <dc:language>en-US</dc:language>
  <cp:lastModifiedBy/>
  <dcterms:modified xsi:type="dcterms:W3CDTF">2026-03-15T03:56:58Z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