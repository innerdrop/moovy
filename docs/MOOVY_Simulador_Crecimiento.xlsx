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Proyecc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<sst xmlns="http://schemas.openxmlformats.org/spreadsheetml/2006/main" count="41" uniqueCount="41">
  <si>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MOOVY — Simulador de crecimiento</t>
  </si>
  <si>
    <t xml:space="preserve">Editá SOLO las celdas azules sobre amarillo. Lo negro se calcula solo.</t>
  </si>
  <si>
    <t xml:space="preserve">SUPUESTOS (editables)</t>
  </si>
  <si>
    <t xml:space="preserve">Costo fijo mensual de Moovy</t>
  </si>
  <si>
    <t xml:space="preserve">Ticket promedio (subtotal)</t>
  </si>
  <si>
    <t xml:space="preserve">Envío promedio</t>
  </si>
  <si>
    <t xml:space="preserve">Comisión comercio (mes 2+)</t>
  </si>
  <si>
    <t xml:space="preserve">% Moovy del envío</t>
  </si>
  <si>
    <t xml:space="preserve">Reserva MercadoPago</t>
  </si>
  <si>
    <t xml:space="preserve">Cashback puntos MOOVER</t>
  </si>
  <si>
    <t xml:space="preserve">CÁLCULOS (automáticos)</t>
  </si>
  <si>
    <t xml:space="preserve">Neto Moovy por pedido PAGO</t>
  </si>
  <si>
    <t xml:space="preserve">Neto Moovy por pedido en MES GRATIS</t>
  </si>
  <si>
    <t xml:space="preserve">Punto de equilibrio (pedidos pagos/mes)</t>
  </si>
  <si>
    <t xml:space="preserve">Nota: el neto por pedido ya descuenta MercadoPago y el 1% de puntos.</t>
  </si>
  <si>
    <t xml:space="preserve">Proyección 12 meses — cambiá los pedidos (azul) y todo recalcula</t>
  </si>
  <si>
    <t xml:space="preserve">Concepto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</si>
  <si>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</si>
  <si>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</si>
  <si>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</si>
  <si>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</si>
  <si>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</si>
  <si>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</si>
  <si>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</si>
  <si>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</si>
  <si>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</si>
  <si>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</si>
  <si>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</si>
  <si>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</si>
  <si>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Pedidos de comercios PAGANDO</t>
  </si>
  <si>
    <t xml:space="preserve">Pedidos en MES GRATIS</t>
  </si>
  <si>
    <t xml:space="preserve">Pedidos totales</t>
  </si>
  <si>
    <t xml:space="preserve">GMV (facturación bruta)</t>
  </si>
  <si>
    <t xml:space="preserve">Ingreso Moovy</t>
  </si>
  <si>
    <t xml:space="preserve">Costo fijo</t>
  </si>
  <si>
    <t xml:space="preserve">Resultado del mes</t>
  </si>
  <si>
    <t xml:space="preserve">Resultado ACUMULADO</t>
  </si>
  <si>
    <t xml:space="preserve">¿Se paga sola? (mes en verde)</t>
  </si>
  <si>
    <t xml:space="preserve">Referencias rápidas</t>
  </si>
  <si>
    <t xml:space="preserve">Break-even = pedidos pagos que cubren el costo fijo (ver Supuestos).</t>
  </si>
  <si>
    <t xml:space="preserve">Los pedidos (filas azules) son un supuesto conservador — se calibran con el piloto de Pixel Point.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</si>
</sst>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6001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E60012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6001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440000</v>
      </c>
    </row>
    <row r="6" customFormat="false" ht="15" hidden="false" customHeight="false" outlineLevel="0" collapsed="false">
      <c r="A6" s="4" t="s">
        <v>4</v>
      </c>
      <c r="B6" s="5" t="n">
        <v>10000</v>
      </c>
    </row>
    <row r="7" customFormat="false" ht="15" hidden="false" customHeight="false" outlineLevel="0" collapsed="false">
      <c r="A7" s="4" t="s">
        <v>5</v>
      </c>
      <c r="B7" s="5" t="n">
        <v>2500</v>
      </c>
    </row>
    <row r="8" customFormat="false" ht="15" hidden="false" customHeight="false" outlineLevel="0" collapsed="false">
      <c r="A8" s="4" t="s">
        <v>6</v>
      </c>
      <c r="B8" s="6" t="n">
        <v>0.1</v>
      </c>
    </row>
    <row r="9" customFormat="false" ht="15" hidden="false" customHeight="false" outlineLevel="0" collapsed="false">
      <c r="A9" s="4" t="s">
        <v>7</v>
      </c>
      <c r="B9" s="6" t="n">
        <v>0.2</v>
      </c>
    </row>
    <row r="10" customFormat="false" ht="15" hidden="false" customHeight="false" outlineLevel="0" collapsed="false">
      <c r="A10" s="4" t="s">
        <v>8</v>
      </c>
      <c r="B10" s="6" t="n">
        <v>0.076</v>
      </c>
    </row>
    <row r="11" customFormat="false" ht="15" hidden="false" customHeight="false" outlineLevel="0" collapsed="false">
      <c r="A11" s="4" t="s">
        <v>9</v>
      </c>
      <c r="B11" s="6" t="n">
        <v>0.01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4" t="s">
        <v>11</v>
      </c>
      <c r="B14" s="7" t="n">
        <f aca="false">(B6*B8+B7*B9)*(1-B10)-B6*B11</f>
        <v>1286</v>
      </c>
    </row>
    <row r="15" customFormat="false" ht="15" hidden="false" customHeight="false" outlineLevel="0" collapsed="false">
      <c r="A15" s="4" t="s">
        <v>12</v>
      </c>
      <c r="B15" s="7" t="n">
        <f aca="false">(B7*B9)*(1-B10)-B6*B11</f>
        <v>362</v>
      </c>
    </row>
    <row r="16" customFormat="false" ht="15" hidden="false" customHeight="false" outlineLevel="0" collapsed="false">
      <c r="A16" s="3" t="s">
        <v>13</v>
      </c>
      <c r="B16" s="8" t="n">
        <f aca="false">ROUND(B5/B14,0)</f>
        <v>342</v>
      </c>
    </row>
    <row r="18" customFormat="false" ht="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1"/>
  </cols>
  <sheetData>
    <row r="1" customFormat="false" ht="17.35" hidden="false" customHeight="false" outlineLevel="0" collapsed="false">
      <c r="A1" s="1" t="s">
        <v>15</v>
      </c>
    </row>
    <row r="3" customFormat="false" ht="15" hidden="false" customHeight="fals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  <c r="H3" s="10" t="s">
        <v>23</v>
      </c>
      <c r="I3" s="10" t="s">
        <v>24</v>
      </c>
      <c r="J3" s="10" t="s">
        <v>25</v>
      </c>
      <c r="K3" s="10" t="s">
        <v>26</v>
      </c>
      <c r="L3" s="10" t="s">
        <v>27</v>
      </c>
      <c r="M3" s="10" t="s">
        <v>28</v>
      </c>
    </row>
    <row r="4" customFormat="false" ht="15" hidden="false" customHeight="false" outlineLevel="0" collapsed="false">
      <c r="A4" s="4" t="s">
        <v>29</v>
      </c>
      <c r="B4" s="11" t="n">
        <v>0</v>
      </c>
      <c r="C4" s="11" t="n">
        <v>150</v>
      </c>
      <c r="D4" s="11" t="n">
        <v>300</v>
      </c>
      <c r="E4" s="11" t="n">
        <v>440</v>
      </c>
      <c r="F4" s="11" t="n">
        <v>600</v>
      </c>
      <c r="G4" s="11" t="n">
        <v>800</v>
      </c>
      <c r="H4" s="11" t="n">
        <v>950</v>
      </c>
      <c r="I4" s="11" t="n">
        <v>1100</v>
      </c>
      <c r="J4" s="11" t="n">
        <v>1300</v>
      </c>
      <c r="K4" s="11" t="n">
        <v>1500</v>
      </c>
      <c r="L4" s="11" t="n">
        <v>1750</v>
      </c>
      <c r="M4" s="11" t="n">
        <v>2000</v>
      </c>
    </row>
    <row r="5" customFormat="false" ht="15" hidden="false" customHeight="false" outlineLevel="0" collapsed="false">
      <c r="A5" s="4" t="s">
        <v>30</v>
      </c>
      <c r="B5" s="11" t="n">
        <v>100</v>
      </c>
      <c r="C5" s="11" t="n">
        <v>70</v>
      </c>
      <c r="D5" s="11" t="n">
        <v>80</v>
      </c>
      <c r="E5" s="11" t="n">
        <v>80</v>
      </c>
      <c r="F5" s="11" t="n">
        <v>100</v>
      </c>
      <c r="G5" s="11" t="n">
        <v>100</v>
      </c>
      <c r="H5" s="11" t="n">
        <v>100</v>
      </c>
      <c r="I5" s="11" t="n">
        <v>100</v>
      </c>
      <c r="J5" s="11" t="n">
        <v>100</v>
      </c>
      <c r="K5" s="11" t="n">
        <v>100</v>
      </c>
      <c r="L5" s="11" t="n">
        <v>100</v>
      </c>
      <c r="M5" s="11" t="n">
        <v>100</v>
      </c>
    </row>
    <row r="6" customFormat="false" ht="15" hidden="false" customHeight="false" outlineLevel="0" collapsed="false">
      <c r="A6" s="3" t="s">
        <v>31</v>
      </c>
      <c r="B6" s="8" t="n">
        <f aca="false">B4+B5</f>
        <v>100</v>
      </c>
      <c r="C6" s="8" t="n">
        <f aca="false">C4+C5</f>
        <v>220</v>
      </c>
      <c r="D6" s="8" t="n">
        <f aca="false">D4+D5</f>
        <v>380</v>
      </c>
      <c r="E6" s="8" t="n">
        <f aca="false">E4+E5</f>
        <v>520</v>
      </c>
      <c r="F6" s="8" t="n">
        <f aca="false">F4+F5</f>
        <v>700</v>
      </c>
      <c r="G6" s="8" t="n">
        <f aca="false">G4+G5</f>
        <v>900</v>
      </c>
      <c r="H6" s="8" t="n">
        <f aca="false">H4+H5</f>
        <v>1050</v>
      </c>
      <c r="I6" s="8" t="n">
        <f aca="false">I4+I5</f>
        <v>1200</v>
      </c>
      <c r="J6" s="8" t="n">
        <f aca="false">J4+J5</f>
        <v>1400</v>
      </c>
      <c r="K6" s="8" t="n">
        <f aca="false">K4+K5</f>
        <v>1600</v>
      </c>
      <c r="L6" s="8" t="n">
        <f aca="false">L4+L5</f>
        <v>1850</v>
      </c>
      <c r="M6" s="8" t="n">
        <f aca="false">M4+M5</f>
        <v>2100</v>
      </c>
    </row>
    <row r="7" customFormat="false" ht="15" hidden="false" customHeight="false" outlineLevel="0" collapsed="false">
      <c r="A7" s="4" t="s">
        <v>32</v>
      </c>
      <c r="B7" s="12" t="n">
        <f aca="false">B6*Supuestos!$B$6</f>
        <v>1000000</v>
      </c>
      <c r="C7" s="12" t="n">
        <f aca="false">C6*Supuestos!$B$6</f>
        <v>2200000</v>
      </c>
      <c r="D7" s="12" t="n">
        <f aca="false">D6*Supuestos!$B$6</f>
        <v>3800000</v>
      </c>
      <c r="E7" s="12" t="n">
        <f aca="false">E6*Supuestos!$B$6</f>
        <v>5200000</v>
      </c>
      <c r="F7" s="12" t="n">
        <f aca="false">F6*Supuestos!$B$6</f>
        <v>7000000</v>
      </c>
      <c r="G7" s="12" t="n">
        <f aca="false">G6*Supuestos!$B$6</f>
        <v>9000000</v>
      </c>
      <c r="H7" s="12" t="n">
        <f aca="false">H6*Supuestos!$B$6</f>
        <v>10500000</v>
      </c>
      <c r="I7" s="12" t="n">
        <f aca="false">I6*Supuestos!$B$6</f>
        <v>12000000</v>
      </c>
      <c r="J7" s="12" t="n">
        <f aca="false">J6*Supuestos!$B$6</f>
        <v>14000000</v>
      </c>
      <c r="K7" s="12" t="n">
        <f aca="false">K6*Supuestos!$B$6</f>
        <v>16000000</v>
      </c>
      <c r="L7" s="12" t="n">
        <f aca="false">L6*Supuestos!$B$6</f>
        <v>18500000</v>
      </c>
      <c r="M7" s="12" t="n">
        <f aca="false">M6*Supuestos!$B$6</f>
        <v>21000000</v>
      </c>
    </row>
    <row r="8" customFormat="false" ht="15" hidden="false" customHeight="false" outlineLevel="0" collapsed="false">
      <c r="A8" s="3" t="s">
        <v>33</v>
      </c>
      <c r="B8" s="7" t="n">
        <f aca="false">B4*Supuestos!$B$14+B5*Supuestos!$B$15</f>
        <v>36200</v>
      </c>
      <c r="C8" s="7" t="n">
        <f aca="false">C4*Supuestos!$B$14+C5*Supuestos!$B$15</f>
        <v>218240</v>
      </c>
      <c r="D8" s="7" t="n">
        <f aca="false">D4*Supuestos!$B$14+D5*Supuestos!$B$15</f>
        <v>414760</v>
      </c>
      <c r="E8" s="7" t="n">
        <f aca="false">E4*Supuestos!$B$14+E5*Supuestos!$B$15</f>
        <v>594800</v>
      </c>
      <c r="F8" s="7" t="n">
        <f aca="false">F4*Supuestos!$B$14+F5*Supuestos!$B$15</f>
        <v>807800</v>
      </c>
      <c r="G8" s="7" t="n">
        <f aca="false">G4*Supuestos!$B$14+G5*Supuestos!$B$15</f>
        <v>1065000</v>
      </c>
      <c r="H8" s="7" t="n">
        <f aca="false">H4*Supuestos!$B$14+H5*Supuestos!$B$15</f>
        <v>1257900</v>
      </c>
      <c r="I8" s="7" t="n">
        <f aca="false">I4*Supuestos!$B$14+I5*Supuestos!$B$15</f>
        <v>1450800</v>
      </c>
      <c r="J8" s="7" t="n">
        <f aca="false">J4*Supuestos!$B$14+J5*Supuestos!$B$15</f>
        <v>1708000</v>
      </c>
      <c r="K8" s="7" t="n">
        <f aca="false">K4*Supuestos!$B$14+K5*Supuestos!$B$15</f>
        <v>1965200</v>
      </c>
      <c r="L8" s="7" t="n">
        <f aca="false">L4*Supuestos!$B$14+L5*Supuestos!$B$15</f>
        <v>2286700</v>
      </c>
      <c r="M8" s="7" t="n">
        <f aca="false">M4*Supuestos!$B$14+M5*Supuestos!$B$15</f>
        <v>2608200</v>
      </c>
    </row>
    <row r="9" customFormat="false" ht="15" hidden="false" customHeight="false" outlineLevel="0" collapsed="false">
      <c r="A9" s="4" t="s">
        <v>34</v>
      </c>
      <c r="B9" s="12" t="n">
        <f aca="false">Supuestos!$B$5</f>
        <v>440000</v>
      </c>
      <c r="C9" s="12" t="n">
        <f aca="false">Supuestos!$B$5</f>
        <v>440000</v>
      </c>
      <c r="D9" s="12" t="n">
        <f aca="false">Supuestos!$B$5</f>
        <v>440000</v>
      </c>
      <c r="E9" s="12" t="n">
        <f aca="false">Supuestos!$B$5</f>
        <v>440000</v>
      </c>
      <c r="F9" s="12" t="n">
        <f aca="false">Supuestos!$B$5</f>
        <v>440000</v>
      </c>
      <c r="G9" s="12" t="n">
        <f aca="false">Supuestos!$B$5</f>
        <v>440000</v>
      </c>
      <c r="H9" s="12" t="n">
        <f aca="false">Supuestos!$B$5</f>
        <v>440000</v>
      </c>
      <c r="I9" s="12" t="n">
        <f aca="false">Supuestos!$B$5</f>
        <v>440000</v>
      </c>
      <c r="J9" s="12" t="n">
        <f aca="false">Supuestos!$B$5</f>
        <v>440000</v>
      </c>
      <c r="K9" s="12" t="n">
        <f aca="false">Supuestos!$B$5</f>
        <v>440000</v>
      </c>
      <c r="L9" s="12" t="n">
        <f aca="false">Supuestos!$B$5</f>
        <v>440000</v>
      </c>
      <c r="M9" s="12" t="n">
        <f aca="false">Supuestos!$B$5</f>
        <v>440000</v>
      </c>
    </row>
    <row r="10" customFormat="false" ht="15" hidden="false" customHeight="false" outlineLevel="0" collapsed="false">
      <c r="A10" s="3" t="s">
        <v>35</v>
      </c>
      <c r="B10" s="7" t="n">
        <f aca="false">B8-B9</f>
        <v>-403800</v>
      </c>
      <c r="C10" s="7" t="n">
        <f aca="false">C8-C9</f>
        <v>-221760</v>
      </c>
      <c r="D10" s="7" t="n">
        <f aca="false">D8-D9</f>
        <v>-25240</v>
      </c>
      <c r="E10" s="7" t="n">
        <f aca="false">E8-E9</f>
        <v>154800</v>
      </c>
      <c r="F10" s="7" t="n">
        <f aca="false">F8-F9</f>
        <v>367800</v>
      </c>
      <c r="G10" s="7" t="n">
        <f aca="false">G8-G9</f>
        <v>625000</v>
      </c>
      <c r="H10" s="7" t="n">
        <f aca="false">H8-H9</f>
        <v>817900</v>
      </c>
      <c r="I10" s="7" t="n">
        <f aca="false">I8-I9</f>
        <v>1010800</v>
      </c>
      <c r="J10" s="7" t="n">
        <f aca="false">J8-J9</f>
        <v>1268000</v>
      </c>
      <c r="K10" s="7" t="n">
        <f aca="false">K8-K9</f>
        <v>1525200</v>
      </c>
      <c r="L10" s="7" t="n">
        <f aca="false">L8-L9</f>
        <v>1846700</v>
      </c>
      <c r="M10" s="7" t="n">
        <f aca="false">M8-M9</f>
        <v>2168200</v>
      </c>
    </row>
    <row r="11" customFormat="false" ht="15" hidden="false" customHeight="false" outlineLevel="0" collapsed="false">
      <c r="A11" s="3" t="s">
        <v>36</v>
      </c>
      <c r="B11" s="7" t="n">
        <f aca="false">B10</f>
        <v>-403800</v>
      </c>
      <c r="C11" s="7" t="n">
        <f aca="false">B11+C10</f>
        <v>-625560</v>
      </c>
      <c r="D11" s="7" t="n">
        <f aca="false">C11+D10</f>
        <v>-650800</v>
      </c>
      <c r="E11" s="7" t="n">
        <f aca="false">D11+E10</f>
        <v>-496000</v>
      </c>
      <c r="F11" s="7" t="n">
        <f aca="false">E11+F10</f>
        <v>-128200</v>
      </c>
      <c r="G11" s="7" t="n">
        <f aca="false">F11+G10</f>
        <v>496800</v>
      </c>
      <c r="H11" s="7" t="n">
        <f aca="false">G11+H10</f>
        <v>1314700</v>
      </c>
      <c r="I11" s="7" t="n">
        <f aca="false">H11+I10</f>
        <v>2325500</v>
      </c>
      <c r="J11" s="7" t="n">
        <f aca="false">I11+J10</f>
        <v>3593500</v>
      </c>
      <c r="K11" s="7" t="n">
        <f aca="false">J11+K10</f>
        <v>5118700</v>
      </c>
      <c r="L11" s="7" t="n">
        <f aca="false">K11+L10</f>
        <v>6965400</v>
      </c>
      <c r="M11" s="7" t="n">
        <f aca="false">L11+M10</f>
        <v>9133600</v>
      </c>
    </row>
    <row r="12" customFormat="false" ht="15" hidden="false" customHeight="false" outlineLevel="0" collapsed="false">
      <c r="A12" s="3" t="s">
        <v>37</v>
      </c>
      <c r="B12" s="13" t="str">
        <f aca="false">IF(B10&gt;=0,"SI","no")</f>
        <v>no</v>
      </c>
      <c r="C12" s="13" t="str">
        <f aca="false">IF(C10&gt;=0,"SI","no")</f>
        <v>no</v>
      </c>
      <c r="D12" s="13" t="str">
        <f aca="false">IF(D10&gt;=0,"SI","no")</f>
        <v>no</v>
      </c>
      <c r="E12" s="13" t="str">
        <f aca="false">IF(E10&gt;=0,"SI","no")</f>
        <v>SI</v>
      </c>
      <c r="F12" s="13" t="str">
        <f aca="false">IF(F10&gt;=0,"SI","no")</f>
        <v>SI</v>
      </c>
      <c r="G12" s="13" t="str">
        <f aca="false">IF(G10&gt;=0,"SI","no")</f>
        <v>SI</v>
      </c>
      <c r="H12" s="13" t="str">
        <f aca="false">IF(H10&gt;=0,"SI","no")</f>
        <v>SI</v>
      </c>
      <c r="I12" s="13" t="str">
        <f aca="false">IF(I10&gt;=0,"SI","no")</f>
        <v>SI</v>
      </c>
      <c r="J12" s="13" t="str">
        <f aca="false">IF(J10&gt;=0,"SI","no")</f>
        <v>SI</v>
      </c>
      <c r="K12" s="13" t="str">
        <f aca="false">IF(K10&gt;=0,"SI","no")</f>
        <v>SI</v>
      </c>
      <c r="L12" s="13" t="str">
        <f aca="false">IF(L10&gt;=0,"SI","no")</f>
        <v>SI</v>
      </c>
      <c r="M12" s="13" t="str">
        <f aca="false">IF(M10&gt;=0,"SI","no")</f>
        <v>SI</v>
      </c>
    </row>
    <row r="14" customFormat="false" ht="15" hidden="false" customHeight="false" outlineLevel="0" collapsed="false">
      <c r="A14" s="3" t="s">
        <v>38</v>
      </c>
    </row>
    <row r="15" customFormat="false" ht="15" hidden="false" customHeight="false" outlineLevel="0" collapsed="false">
      <c r="A15" s="2" t="s">
        <v>39</v>
      </c>
    </row>
    <row r="16" customFormat="false" ht="15" hidden="false" customHeight="false" outlineLevel="0" collapsed="false">
      <c r="A16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2026-07-14T02:17:20Z</dcterms:created>
  <dc:creator>openpyxl</dc:creator>
  <dc:description/>
  <dc:language>en-US</dc:language>
  <cp:lastModifiedBy/>
  <dcterms:modified xsi:type="dcterms:W3CDTF">2026-07-14T02:17:20Z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