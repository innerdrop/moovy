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Productos" sheetId="1" state="visible" r:id="rId1"/>
    <sheet xmlns:r="http://schemas.openxmlformats.org/officeDocument/2006/relationships" name="Ref. PackageCategory" sheetId="2" state="visible" r:id="rId2"/>
    <sheet xmlns:r="http://schemas.openxmlformats.org/officeDocument/2006/relationships" name="Simulador Vehícu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C0000"/>
      <sz val="14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color rgb="00CC0000"/>
      <sz val="12"/>
    </font>
    <font>
      <name val="Arial"/>
      <b val="1"/>
      <sz val="10"/>
    </font>
    <font>
      <name val="Arial"/>
      <b val="1"/>
      <color rgb="00006600"/>
      <sz val="10"/>
    </font>
  </fonts>
  <fills count="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333333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10" customWidth="1" min="4" max="4"/>
    <col width="10" customWidth="1" min="5" max="5"/>
    <col width="8" customWidth="1" min="6" max="6"/>
    <col width="9" customWidth="1" min="7" max="7"/>
    <col width="18" customWidth="1" min="8" max="8"/>
    <col width="16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 ht="30" customHeight="1">
      <c r="A1" s="1" t="inlineStr">
        <is>
          <t>Catálogo de Bebidas Coca-Cola Argentina – Importación Masiva Moovy</t>
        </is>
      </c>
    </row>
    <row r="2" ht="25" customHeight="1">
      <c r="A2" s="2" t="inlineStr">
        <is>
          <t>Archivo preparado para carga masiva en OPS → Importar. Campos mapeados al schema de Moovy (Product + PackageCategory). Marzo 2026.</t>
        </is>
      </c>
    </row>
    <row r="4" ht="20" customHeight="1">
      <c r="A4" s="3" t="inlineStr">
        <is>
          <t>name</t>
        </is>
      </c>
      <c r="B4" s="3" t="inlineStr">
        <is>
          <t>slug</t>
        </is>
      </c>
      <c r="C4" s="3" t="inlineStr">
        <is>
          <t>description</t>
        </is>
      </c>
      <c r="D4" s="3" t="inlineStr">
        <is>
          <t>price</t>
        </is>
      </c>
      <c r="E4" s="3" t="inlineStr">
        <is>
          <t>costPrice</t>
        </is>
      </c>
      <c r="F4" s="3" t="inlineStr">
        <is>
          <t>stock</t>
        </is>
      </c>
      <c r="G4" s="3" t="inlineStr">
        <is>
          <t>minStock</t>
        </is>
      </c>
      <c r="H4" s="3" t="inlineStr">
        <is>
          <t>categorySlug</t>
        </is>
      </c>
      <c r="I4" s="3" t="inlineStr">
        <is>
          <t>packageCategory</t>
        </is>
      </c>
      <c r="J4" s="3" t="inlineStr">
        <is>
          <t>maxWeightGrams</t>
        </is>
      </c>
      <c r="K4" s="3" t="inlineStr">
        <is>
          <t>maxLengthCm</t>
        </is>
      </c>
      <c r="L4" s="3" t="inlineStr">
        <is>
          <t>maxWidthCm</t>
        </is>
      </c>
      <c r="M4" s="3" t="inlineStr">
        <is>
          <t>maxHeightCm</t>
        </is>
      </c>
      <c r="N4" s="3" t="inlineStr">
        <is>
          <t>volumeScore</t>
        </is>
      </c>
      <c r="O4" s="3" t="inlineStr">
        <is>
          <t>allowedVehicles</t>
        </is>
      </c>
    </row>
    <row r="5" ht="20" customHeight="1">
      <c r="A5" s="4" t="inlineStr">
        <is>
          <t>GASEOSAS · COCA-COLA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45" customHeight="1">
      <c r="A6" s="6" t="inlineStr">
        <is>
          <t>Coca-Cola Sabor Original 237 ml</t>
        </is>
      </c>
      <c r="B6" s="6" t="inlineStr">
        <is>
          <t>coca-cola-sabor-original-237-ml</t>
        </is>
      </c>
      <c r="C6" s="6" t="inlineStr">
        <is>
          <t>El sabor inconfundible que lo empezó todo. Refrescá tus momentos con la Coca-Cola de siempre, en el clásico envase de vidrio retornable. Servir bien frío.</t>
        </is>
      </c>
      <c r="D6" s="7" t="n">
        <v>0</v>
      </c>
      <c r="E6" s="7" t="n">
        <v>0</v>
      </c>
      <c r="F6" s="7" t="n">
        <v>100</v>
      </c>
      <c r="G6" s="7" t="n">
        <v>10</v>
      </c>
      <c r="H6" s="6" t="inlineStr">
        <is>
          <t>gaseosas-cola</t>
        </is>
      </c>
      <c r="I6" s="6" t="inlineStr">
        <is>
          <t>MICRO</t>
        </is>
      </c>
      <c r="J6" s="7" t="n">
        <v>470</v>
      </c>
      <c r="K6" s="7" t="n">
        <v>18</v>
      </c>
      <c r="L6" s="7" t="n">
        <v>6</v>
      </c>
      <c r="M6" s="7" t="n">
        <v>6</v>
      </c>
      <c r="N6" s="7" t="n">
        <v>1</v>
      </c>
      <c r="O6" s="7" t="inlineStr">
        <is>
          <t>BIKE,MOTO,CAR,TRUCK</t>
        </is>
      </c>
    </row>
    <row r="7" ht="45" customHeight="1">
      <c r="A7" s="8" t="inlineStr">
        <is>
          <t>Coca-Cola Sabor Original 354 ml Lata</t>
        </is>
      </c>
      <c r="B7" s="8" t="inlineStr">
        <is>
          <t>coca-cola-sabor-original-354-ml-lata</t>
        </is>
      </c>
      <c r="C7" s="8" t="inlineStr">
        <is>
          <t>Tu Coca-Cola de siempre en lata. Perfecta para llevar a donde vayas y disfrutar bien fría en cualquier momento del día.</t>
        </is>
      </c>
      <c r="D7" s="9" t="n">
        <v>0</v>
      </c>
      <c r="E7" s="9" t="n">
        <v>0</v>
      </c>
      <c r="F7" s="9" t="n">
        <v>100</v>
      </c>
      <c r="G7" s="9" t="n">
        <v>10</v>
      </c>
      <c r="H7" s="8" t="inlineStr">
        <is>
          <t>gaseosas-cola</t>
        </is>
      </c>
      <c r="I7" s="8" t="inlineStr">
        <is>
          <t>MICRO</t>
        </is>
      </c>
      <c r="J7" s="9" t="n">
        <v>380</v>
      </c>
      <c r="K7" s="9" t="n">
        <v>12</v>
      </c>
      <c r="L7" s="9" t="n">
        <v>7</v>
      </c>
      <c r="M7" s="9" t="n">
        <v>7</v>
      </c>
      <c r="N7" s="9" t="n">
        <v>1</v>
      </c>
      <c r="O7" s="9" t="inlineStr">
        <is>
          <t>BIKE,MOTO,CAR,TRUCK</t>
        </is>
      </c>
    </row>
    <row r="8" ht="45" customHeight="1">
      <c r="A8" s="6" t="inlineStr">
        <is>
          <t>Coca-Cola Sabor Original 500 ml</t>
        </is>
      </c>
      <c r="B8" s="6" t="inlineStr">
        <is>
          <t>coca-cola-sabor-original-500-ml</t>
        </is>
      </c>
      <c r="C8" s="6" t="inlineStr">
        <is>
          <t>El sabor original que amás, en el tamaño justo para vos. Ideal para acompañar tu almuerzo, tu break o tu salida con amigos.</t>
        </is>
      </c>
      <c r="D8" s="7" t="n">
        <v>0</v>
      </c>
      <c r="E8" s="7" t="n">
        <v>0</v>
      </c>
      <c r="F8" s="7" t="n">
        <v>100</v>
      </c>
      <c r="G8" s="7" t="n">
        <v>10</v>
      </c>
      <c r="H8" s="6" t="inlineStr">
        <is>
          <t>gaseosas-cola</t>
        </is>
      </c>
      <c r="I8" s="6" t="inlineStr">
        <is>
          <t>SMALL</t>
        </is>
      </c>
      <c r="J8" s="7" t="n">
        <v>540</v>
      </c>
      <c r="K8" s="7" t="n">
        <v>22</v>
      </c>
      <c r="L8" s="7" t="n">
        <v>7</v>
      </c>
      <c r="M8" s="7" t="n">
        <v>7</v>
      </c>
      <c r="N8" s="7" t="n">
        <v>3</v>
      </c>
      <c r="O8" s="7" t="inlineStr">
        <is>
          <t>MOTO,CAR,TRUCK</t>
        </is>
      </c>
    </row>
    <row r="9" ht="45" customHeight="1">
      <c r="A9" s="8" t="inlineStr">
        <is>
          <t>Coca-Cola Sabor Original 600 ml</t>
        </is>
      </c>
      <c r="B9" s="8" t="inlineStr">
        <is>
          <t>coca-cola-sabor-original-600-ml</t>
        </is>
      </c>
      <c r="C9" s="8" t="inlineStr">
        <is>
          <t>Más Coca-Cola para disfrutar más. El formato personal ampliado que te acompaña todo el día con el sabor que siempre elegís.</t>
        </is>
      </c>
      <c r="D9" s="9" t="n">
        <v>0</v>
      </c>
      <c r="E9" s="9" t="n">
        <v>0</v>
      </c>
      <c r="F9" s="9" t="n">
        <v>100</v>
      </c>
      <c r="G9" s="9" t="n">
        <v>10</v>
      </c>
      <c r="H9" s="8" t="inlineStr">
        <is>
          <t>gaseosas-cola</t>
        </is>
      </c>
      <c r="I9" s="8" t="inlineStr">
        <is>
          <t>SMALL</t>
        </is>
      </c>
      <c r="J9" s="9" t="n">
        <v>640</v>
      </c>
      <c r="K9" s="9" t="n">
        <v>24</v>
      </c>
      <c r="L9" s="9" t="n">
        <v>7</v>
      </c>
      <c r="M9" s="9" t="n">
        <v>7</v>
      </c>
      <c r="N9" s="9" t="n">
        <v>3</v>
      </c>
      <c r="O9" s="9" t="inlineStr">
        <is>
          <t>MOTO,CAR,TRUCK</t>
        </is>
      </c>
    </row>
    <row r="10" ht="45" customHeight="1">
      <c r="A10" s="6" t="inlineStr">
        <is>
          <t>Coca-Cola Sabor Original 1.5 L</t>
        </is>
      </c>
      <c r="B10" s="6" t="inlineStr">
        <is>
          <t>coca-cola-sabor-original-1-5-l</t>
        </is>
      </c>
      <c r="C10" s="6" t="inlineStr">
        <is>
          <t>Para compartir en la mesa de todos los días. El sabor inigualable de Coca-Cola Original en formato familiar. Rinde hasta 6 vasos.</t>
        </is>
      </c>
      <c r="D10" s="7" t="n">
        <v>0</v>
      </c>
      <c r="E10" s="7" t="n">
        <v>0</v>
      </c>
      <c r="F10" s="7" t="n">
        <v>100</v>
      </c>
      <c r="G10" s="7" t="n">
        <v>10</v>
      </c>
      <c r="H10" s="6" t="inlineStr">
        <is>
          <t>gaseosas-cola</t>
        </is>
      </c>
      <c r="I10" s="6" t="inlineStr">
        <is>
          <t>MEDIUM</t>
        </is>
      </c>
      <c r="J10" s="7" t="n">
        <v>1580</v>
      </c>
      <c r="K10" s="7" t="n">
        <v>32</v>
      </c>
      <c r="L10" s="7" t="n">
        <v>9</v>
      </c>
      <c r="M10" s="7" t="n">
        <v>9</v>
      </c>
      <c r="N10" s="7" t="n">
        <v>6</v>
      </c>
      <c r="O10" s="7" t="inlineStr">
        <is>
          <t>CAR,TRUCK</t>
        </is>
      </c>
    </row>
    <row r="11" ht="45" customHeight="1">
      <c r="A11" s="8" t="inlineStr">
        <is>
          <t>Coca-Cola Sabor Original 2.25 L</t>
        </is>
      </c>
      <c r="B11" s="8" t="inlineStr">
        <is>
          <t>coca-cola-sabor-original-2-25-l</t>
        </is>
      </c>
      <c r="C11" s="8" t="inlineStr">
        <is>
          <t>El tamaño ideal para reuniones, asados y juntadas. Coca-Cola Original para que nadie se quede sin su vaso. Rinde hasta 10 vasos.</t>
        </is>
      </c>
      <c r="D11" s="9" t="n">
        <v>0</v>
      </c>
      <c r="E11" s="9" t="n">
        <v>0</v>
      </c>
      <c r="F11" s="9" t="n">
        <v>100</v>
      </c>
      <c r="G11" s="9" t="n">
        <v>10</v>
      </c>
      <c r="H11" s="8" t="inlineStr">
        <is>
          <t>gaseosas-cola</t>
        </is>
      </c>
      <c r="I11" s="8" t="inlineStr">
        <is>
          <t>LARGE</t>
        </is>
      </c>
      <c r="J11" s="9" t="n">
        <v>2330</v>
      </c>
      <c r="K11" s="9" t="n">
        <v>38</v>
      </c>
      <c r="L11" s="9" t="n">
        <v>11</v>
      </c>
      <c r="M11" s="9" t="n">
        <v>11</v>
      </c>
      <c r="N11" s="9" t="n">
        <v>10</v>
      </c>
      <c r="O11" s="9" t="inlineStr">
        <is>
          <t>CAR,TRUCK</t>
        </is>
      </c>
    </row>
    <row r="12" ht="45" customHeight="1">
      <c r="A12" s="6" t="inlineStr">
        <is>
          <t>Coca-Cola Sabor Original 3 L</t>
        </is>
      </c>
      <c r="B12" s="6" t="inlineStr">
        <is>
          <t>coca-cola-sabor-original-3-l</t>
        </is>
      </c>
      <c r="C12" s="6" t="inlineStr">
        <is>
          <t>El formato rendidor para eventos y familias grandes. Coca-Cola Original que alcanza para todos en la mesa.</t>
        </is>
      </c>
      <c r="D12" s="7" t="n">
        <v>0</v>
      </c>
      <c r="E12" s="7" t="n">
        <v>0</v>
      </c>
      <c r="F12" s="7" t="n">
        <v>100</v>
      </c>
      <c r="G12" s="7" t="n">
        <v>10</v>
      </c>
      <c r="H12" s="6" t="inlineStr">
        <is>
          <t>gaseosas-cola</t>
        </is>
      </c>
      <c r="I12" s="6" t="inlineStr">
        <is>
          <t>LARGE</t>
        </is>
      </c>
      <c r="J12" s="7" t="n">
        <v>3100</v>
      </c>
      <c r="K12" s="7" t="n">
        <v>42</v>
      </c>
      <c r="L12" s="7" t="n">
        <v>13</v>
      </c>
      <c r="M12" s="7" t="n">
        <v>13</v>
      </c>
      <c r="N12" s="7" t="n">
        <v>10</v>
      </c>
      <c r="O12" s="7" t="inlineStr">
        <is>
          <t>CAR,TRUCK</t>
        </is>
      </c>
    </row>
    <row r="13" ht="45" customHeight="1">
      <c r="A13" s="8" t="inlineStr">
        <is>
          <t>Coca-Cola Sin Azúcar 354 ml Lata</t>
        </is>
      </c>
      <c r="B13" s="8" t="inlineStr">
        <is>
          <t>coca-cola-sin-azucar-354-ml-lata</t>
        </is>
      </c>
      <c r="C13" s="8" t="inlineStr">
        <is>
          <t>Todo el sabor de Coca-Cola, sin azúcar. Disfrutá el sabor que te encanta en su versión liviana, perfecta en lata bien helada.</t>
        </is>
      </c>
      <c r="D13" s="9" t="n">
        <v>0</v>
      </c>
      <c r="E13" s="9" t="n">
        <v>0</v>
      </c>
      <c r="F13" s="9" t="n">
        <v>100</v>
      </c>
      <c r="G13" s="9" t="n">
        <v>10</v>
      </c>
      <c r="H13" s="8" t="inlineStr">
        <is>
          <t>gaseosas-cola</t>
        </is>
      </c>
      <c r="I13" s="8" t="inlineStr">
        <is>
          <t>MICRO</t>
        </is>
      </c>
      <c r="J13" s="9" t="n">
        <v>375</v>
      </c>
      <c r="K13" s="9" t="n">
        <v>12</v>
      </c>
      <c r="L13" s="9" t="n">
        <v>7</v>
      </c>
      <c r="M13" s="9" t="n">
        <v>7</v>
      </c>
      <c r="N13" s="9" t="n">
        <v>1</v>
      </c>
      <c r="O13" s="9" t="inlineStr">
        <is>
          <t>BIKE,MOTO,CAR,TRUCK</t>
        </is>
      </c>
    </row>
    <row r="14" ht="45" customHeight="1">
      <c r="A14" s="6" t="inlineStr">
        <is>
          <t>Coca-Cola Sin Azúcar 500 ml</t>
        </is>
      </c>
      <c r="B14" s="6" t="inlineStr">
        <is>
          <t>coca-cola-sin-azucar-500-ml</t>
        </is>
      </c>
      <c r="C14" s="6" t="inlineStr">
        <is>
          <t>El mismo sabor inconfundible, cero azúcar. Tu opción refrescante para cuidarte sin renunciar al gusto que amás.</t>
        </is>
      </c>
      <c r="D14" s="7" t="n">
        <v>0</v>
      </c>
      <c r="E14" s="7" t="n">
        <v>0</v>
      </c>
      <c r="F14" s="7" t="n">
        <v>100</v>
      </c>
      <c r="G14" s="7" t="n">
        <v>10</v>
      </c>
      <c r="H14" s="6" t="inlineStr">
        <is>
          <t>gaseosas-cola</t>
        </is>
      </c>
      <c r="I14" s="6" t="inlineStr">
        <is>
          <t>SMALL</t>
        </is>
      </c>
      <c r="J14" s="7" t="n">
        <v>535</v>
      </c>
      <c r="K14" s="7" t="n">
        <v>22</v>
      </c>
      <c r="L14" s="7" t="n">
        <v>7</v>
      </c>
      <c r="M14" s="7" t="n">
        <v>7</v>
      </c>
      <c r="N14" s="7" t="n">
        <v>3</v>
      </c>
      <c r="O14" s="7" t="inlineStr">
        <is>
          <t>MOTO,CAR,TRUCK</t>
        </is>
      </c>
    </row>
    <row r="15" ht="45" customHeight="1">
      <c r="A15" s="8" t="inlineStr">
        <is>
          <t>Coca-Cola Sin Azúcar 600 ml</t>
        </is>
      </c>
      <c r="B15" s="8" t="inlineStr">
        <is>
          <t>coca-cola-sin-azucar-600-ml</t>
        </is>
      </c>
      <c r="C15" s="8" t="inlineStr">
        <is>
          <t>Más Coca-Cola Sin Azúcar para disfrutar a tu ritmo. Refrescate con toda la onda, sin azúcar agregada.</t>
        </is>
      </c>
      <c r="D15" s="9" t="n">
        <v>0</v>
      </c>
      <c r="E15" s="9" t="n">
        <v>0</v>
      </c>
      <c r="F15" s="9" t="n">
        <v>100</v>
      </c>
      <c r="G15" s="9" t="n">
        <v>10</v>
      </c>
      <c r="H15" s="8" t="inlineStr">
        <is>
          <t>gaseosas-cola</t>
        </is>
      </c>
      <c r="I15" s="8" t="inlineStr">
        <is>
          <t>SMALL</t>
        </is>
      </c>
      <c r="J15" s="9" t="n">
        <v>635</v>
      </c>
      <c r="K15" s="9" t="n">
        <v>24</v>
      </c>
      <c r="L15" s="9" t="n">
        <v>7</v>
      </c>
      <c r="M15" s="9" t="n">
        <v>7</v>
      </c>
      <c r="N15" s="9" t="n">
        <v>3</v>
      </c>
      <c r="O15" s="9" t="inlineStr">
        <is>
          <t>MOTO,CAR,TRUCK</t>
        </is>
      </c>
    </row>
    <row r="16" ht="45" customHeight="1">
      <c r="A16" s="6" t="inlineStr">
        <is>
          <t>Coca-Cola Sin Azúcar 1.5 L</t>
        </is>
      </c>
      <c r="B16" s="6" t="inlineStr">
        <is>
          <t>coca-cola-sin-azucar-1-5-l</t>
        </is>
      </c>
      <c r="C16" s="6" t="inlineStr">
        <is>
          <t>Compartí la mesa con Coca-Cola Sin Azúcar. Todo el sabor, cero azúcar, en formato para toda la familia.</t>
        </is>
      </c>
      <c r="D16" s="7" t="n">
        <v>0</v>
      </c>
      <c r="E16" s="7" t="n">
        <v>0</v>
      </c>
      <c r="F16" s="7" t="n">
        <v>100</v>
      </c>
      <c r="G16" s="7" t="n">
        <v>10</v>
      </c>
      <c r="H16" s="6" t="inlineStr">
        <is>
          <t>gaseosas-cola</t>
        </is>
      </c>
      <c r="I16" s="6" t="inlineStr">
        <is>
          <t>MEDIUM</t>
        </is>
      </c>
      <c r="J16" s="7" t="n">
        <v>1575</v>
      </c>
      <c r="K16" s="7" t="n">
        <v>32</v>
      </c>
      <c r="L16" s="7" t="n">
        <v>9</v>
      </c>
      <c r="M16" s="7" t="n">
        <v>9</v>
      </c>
      <c r="N16" s="7" t="n">
        <v>6</v>
      </c>
      <c r="O16" s="7" t="inlineStr">
        <is>
          <t>CAR,TRUCK</t>
        </is>
      </c>
    </row>
    <row r="17" ht="45" customHeight="1">
      <c r="A17" s="8" t="inlineStr">
        <is>
          <t>Coca-Cola Sin Azúcar 2.25 L</t>
        </is>
      </c>
      <c r="B17" s="8" t="inlineStr">
        <is>
          <t>coca-cola-sin-azucar-2-25-l</t>
        </is>
      </c>
      <c r="C17" s="8" t="inlineStr">
        <is>
          <t>El formato grande de Coca-Cola Sin Azúcar. Ideal para eventos y juntadas donde querés cuidarte sin dejar de disfrutar.</t>
        </is>
      </c>
      <c r="D17" s="9" t="n">
        <v>0</v>
      </c>
      <c r="E17" s="9" t="n">
        <v>0</v>
      </c>
      <c r="F17" s="9" t="n">
        <v>100</v>
      </c>
      <c r="G17" s="9" t="n">
        <v>10</v>
      </c>
      <c r="H17" s="8" t="inlineStr">
        <is>
          <t>gaseosas-cola</t>
        </is>
      </c>
      <c r="I17" s="8" t="inlineStr">
        <is>
          <t>LARGE</t>
        </is>
      </c>
      <c r="J17" s="9" t="n">
        <v>2320</v>
      </c>
      <c r="K17" s="9" t="n">
        <v>38</v>
      </c>
      <c r="L17" s="9" t="n">
        <v>11</v>
      </c>
      <c r="M17" s="9" t="n">
        <v>11</v>
      </c>
      <c r="N17" s="9" t="n">
        <v>10</v>
      </c>
      <c r="O17" s="9" t="inlineStr">
        <is>
          <t>CAR,TRUCK</t>
        </is>
      </c>
    </row>
    <row r="18" ht="45" customHeight="1">
      <c r="A18" s="6" t="inlineStr">
        <is>
          <t>Coca-Cola Light 354 ml Lata</t>
        </is>
      </c>
      <c r="B18" s="6" t="inlineStr">
        <is>
          <t>coca-cola-light-354-ml-lata</t>
        </is>
      </c>
      <c r="C18" s="6" t="inlineStr">
        <is>
          <t>El sabor suave y ligero de Coca-Cola con menos calorías. Para quienes buscan una opción liviana y refrescante.</t>
        </is>
      </c>
      <c r="D18" s="7" t="n">
        <v>0</v>
      </c>
      <c r="E18" s="7" t="n">
        <v>0</v>
      </c>
      <c r="F18" s="7" t="n">
        <v>100</v>
      </c>
      <c r="G18" s="7" t="n">
        <v>10</v>
      </c>
      <c r="H18" s="6" t="inlineStr">
        <is>
          <t>gaseosas-cola</t>
        </is>
      </c>
      <c r="I18" s="6" t="inlineStr">
        <is>
          <t>MICRO</t>
        </is>
      </c>
      <c r="J18" s="7" t="n">
        <v>375</v>
      </c>
      <c r="K18" s="7" t="n">
        <v>12</v>
      </c>
      <c r="L18" s="7" t="n">
        <v>7</v>
      </c>
      <c r="M18" s="7" t="n">
        <v>7</v>
      </c>
      <c r="N18" s="7" t="n">
        <v>1</v>
      </c>
      <c r="O18" s="7" t="inlineStr">
        <is>
          <t>BIKE,MOTO,CAR,TRUCK</t>
        </is>
      </c>
    </row>
    <row r="19" ht="45" customHeight="1">
      <c r="A19" s="8" t="inlineStr">
        <is>
          <t>Coca-Cola Light 500 ml</t>
        </is>
      </c>
      <c r="B19" s="8" t="inlineStr">
        <is>
          <t>coca-cola-light-500-ml</t>
        </is>
      </c>
      <c r="C19" s="8" t="inlineStr">
        <is>
          <t>Refrescate con Coca-Cola Light: sabor suave, liviana y perfecta para cualquier momento del día. Menos calorías, mismo placer.</t>
        </is>
      </c>
      <c r="D19" s="9" t="n">
        <v>0</v>
      </c>
      <c r="E19" s="9" t="n">
        <v>0</v>
      </c>
      <c r="F19" s="9" t="n">
        <v>100</v>
      </c>
      <c r="G19" s="9" t="n">
        <v>10</v>
      </c>
      <c r="H19" s="8" t="inlineStr">
        <is>
          <t>gaseosas-cola</t>
        </is>
      </c>
      <c r="I19" s="8" t="inlineStr">
        <is>
          <t>SMALL</t>
        </is>
      </c>
      <c r="J19" s="9" t="n">
        <v>535</v>
      </c>
      <c r="K19" s="9" t="n">
        <v>22</v>
      </c>
      <c r="L19" s="9" t="n">
        <v>7</v>
      </c>
      <c r="M19" s="9" t="n">
        <v>7</v>
      </c>
      <c r="N19" s="9" t="n">
        <v>3</v>
      </c>
      <c r="O19" s="9" t="inlineStr">
        <is>
          <t>MOTO,CAR,TRUCK</t>
        </is>
      </c>
    </row>
    <row r="20" ht="45" customHeight="1">
      <c r="A20" s="6" t="inlineStr">
        <is>
          <t>Coca-Cola Light 1.5 L</t>
        </is>
      </c>
      <c r="B20" s="6" t="inlineStr">
        <is>
          <t>coca-cola-light-1-5-l</t>
        </is>
      </c>
      <c r="C20" s="6" t="inlineStr">
        <is>
          <t>Coca-Cola Light en formato familiar. Para quienes prefieren un sabor más suave a la hora de compartir en la mesa.</t>
        </is>
      </c>
      <c r="D20" s="7" t="n">
        <v>0</v>
      </c>
      <c r="E20" s="7" t="n">
        <v>0</v>
      </c>
      <c r="F20" s="7" t="n">
        <v>100</v>
      </c>
      <c r="G20" s="7" t="n">
        <v>10</v>
      </c>
      <c r="H20" s="6" t="inlineStr">
        <is>
          <t>gaseosas-cola</t>
        </is>
      </c>
      <c r="I20" s="6" t="inlineStr">
        <is>
          <t>MEDIUM</t>
        </is>
      </c>
      <c r="J20" s="7" t="n">
        <v>1575</v>
      </c>
      <c r="K20" s="7" t="n">
        <v>32</v>
      </c>
      <c r="L20" s="7" t="n">
        <v>9</v>
      </c>
      <c r="M20" s="7" t="n">
        <v>9</v>
      </c>
      <c r="N20" s="7" t="n">
        <v>6</v>
      </c>
      <c r="O20" s="7" t="inlineStr">
        <is>
          <t>CAR,TRUCK</t>
        </is>
      </c>
    </row>
    <row r="21" ht="20" customHeight="1">
      <c r="A21" s="4" t="inlineStr">
        <is>
          <t>GASEOSAS · SPRITE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45" customHeight="1">
      <c r="A22" s="6" t="inlineStr">
        <is>
          <t>Sprite Lima-Limón 354 ml Lata</t>
        </is>
      </c>
      <c r="B22" s="6" t="inlineStr">
        <is>
          <t>sprite-lima-limon-354-ml-lata</t>
        </is>
      </c>
      <c r="C22" s="6" t="inlineStr">
        <is>
          <t>La frescura que necesitás en cada sorbo. Sprite con su inconfundible sabor a lima y limón, en lata bien helada para refrescarte al instante.</t>
        </is>
      </c>
      <c r="D22" s="7" t="n">
        <v>0</v>
      </c>
      <c r="E22" s="7" t="n">
        <v>0</v>
      </c>
      <c r="F22" s="7" t="n">
        <v>100</v>
      </c>
      <c r="G22" s="7" t="n">
        <v>10</v>
      </c>
      <c r="H22" s="6" t="inlineStr">
        <is>
          <t>gaseosas-lima-limon</t>
        </is>
      </c>
      <c r="I22" s="6" t="inlineStr">
        <is>
          <t>MICRO</t>
        </is>
      </c>
      <c r="J22" s="7" t="n">
        <v>370</v>
      </c>
      <c r="K22" s="7" t="n">
        <v>12</v>
      </c>
      <c r="L22" s="7" t="n">
        <v>7</v>
      </c>
      <c r="M22" s="7" t="n">
        <v>7</v>
      </c>
      <c r="N22" s="7" t="n">
        <v>1</v>
      </c>
      <c r="O22" s="7" t="inlineStr">
        <is>
          <t>BIKE,MOTO,CAR,TRUCK</t>
        </is>
      </c>
    </row>
    <row r="23" ht="45" customHeight="1">
      <c r="A23" s="8" t="inlineStr">
        <is>
          <t>Sprite Lima-Limón 500 ml</t>
        </is>
      </c>
      <c r="B23" s="8" t="inlineStr">
        <is>
          <t>sprite-lima-limon-500-ml</t>
        </is>
      </c>
      <c r="C23" s="8" t="inlineStr">
        <is>
          <t>Frescura nivel Sprite. Sabor lima-limón cristalino y burbujeante, el compañero perfecto para cortar la sed en cualquier momento.</t>
        </is>
      </c>
      <c r="D23" s="9" t="n">
        <v>0</v>
      </c>
      <c r="E23" s="9" t="n">
        <v>0</v>
      </c>
      <c r="F23" s="9" t="n">
        <v>100</v>
      </c>
      <c r="G23" s="9" t="n">
        <v>10</v>
      </c>
      <c r="H23" s="8" t="inlineStr">
        <is>
          <t>gaseosas-lima-limon</t>
        </is>
      </c>
      <c r="I23" s="8" t="inlineStr">
        <is>
          <t>SMALL</t>
        </is>
      </c>
      <c r="J23" s="9" t="n">
        <v>535</v>
      </c>
      <c r="K23" s="9" t="n">
        <v>22</v>
      </c>
      <c r="L23" s="9" t="n">
        <v>7</v>
      </c>
      <c r="M23" s="9" t="n">
        <v>7</v>
      </c>
      <c r="N23" s="9" t="n">
        <v>3</v>
      </c>
      <c r="O23" s="9" t="inlineStr">
        <is>
          <t>MOTO,CAR,TRUCK</t>
        </is>
      </c>
    </row>
    <row r="24" ht="45" customHeight="1">
      <c r="A24" s="6" t="inlineStr">
        <is>
          <t>Sprite Lima-Limón 600 ml</t>
        </is>
      </c>
      <c r="B24" s="6" t="inlineStr">
        <is>
          <t>sprite-lima-limon-600-ml</t>
        </is>
      </c>
      <c r="C24" s="6" t="inlineStr">
        <is>
          <t>Más frescura, más Sprite. El formato personal ampliado con el sabor lima-limón que te acompaña todo el día.</t>
        </is>
      </c>
      <c r="D24" s="7" t="n">
        <v>0</v>
      </c>
      <c r="E24" s="7" t="n">
        <v>0</v>
      </c>
      <c r="F24" s="7" t="n">
        <v>100</v>
      </c>
      <c r="G24" s="7" t="n">
        <v>10</v>
      </c>
      <c r="H24" s="6" t="inlineStr">
        <is>
          <t>gaseosas-lima-limon</t>
        </is>
      </c>
      <c r="I24" s="6" t="inlineStr">
        <is>
          <t>SMALL</t>
        </is>
      </c>
      <c r="J24" s="7" t="n">
        <v>635</v>
      </c>
      <c r="K24" s="7" t="n">
        <v>24</v>
      </c>
      <c r="L24" s="7" t="n">
        <v>7</v>
      </c>
      <c r="M24" s="7" t="n">
        <v>7</v>
      </c>
      <c r="N24" s="7" t="n">
        <v>3</v>
      </c>
      <c r="O24" s="7" t="inlineStr">
        <is>
          <t>MOTO,CAR,TRUCK</t>
        </is>
      </c>
    </row>
    <row r="25" ht="45" customHeight="1">
      <c r="A25" s="8" t="inlineStr">
        <is>
          <t>Sprite Lima-Limón 1.5 L</t>
        </is>
      </c>
      <c r="B25" s="8" t="inlineStr">
        <is>
          <t>sprite-lima-limon-1-5-l</t>
        </is>
      </c>
      <c r="C25" s="8" t="inlineStr">
        <is>
          <t>Compartí la frescura de Sprite en la mesa. Sabor lima-limón transparente y burbujeante para toda la familia.</t>
        </is>
      </c>
      <c r="D25" s="9" t="n">
        <v>0</v>
      </c>
      <c r="E25" s="9" t="n">
        <v>0</v>
      </c>
      <c r="F25" s="9" t="n">
        <v>100</v>
      </c>
      <c r="G25" s="9" t="n">
        <v>10</v>
      </c>
      <c r="H25" s="8" t="inlineStr">
        <is>
          <t>gaseosas-lima-limon</t>
        </is>
      </c>
      <c r="I25" s="8" t="inlineStr">
        <is>
          <t>MEDIUM</t>
        </is>
      </c>
      <c r="J25" s="9" t="n">
        <v>1575</v>
      </c>
      <c r="K25" s="9" t="n">
        <v>32</v>
      </c>
      <c r="L25" s="9" t="n">
        <v>9</v>
      </c>
      <c r="M25" s="9" t="n">
        <v>9</v>
      </c>
      <c r="N25" s="9" t="n">
        <v>6</v>
      </c>
      <c r="O25" s="9" t="inlineStr">
        <is>
          <t>CAR,TRUCK</t>
        </is>
      </c>
    </row>
    <row r="26" ht="45" customHeight="1">
      <c r="A26" s="6" t="inlineStr">
        <is>
          <t>Sprite Lima-Limón 2.25 L</t>
        </is>
      </c>
      <c r="B26" s="6" t="inlineStr">
        <is>
          <t>sprite-lima-limon-2-25-l</t>
        </is>
      </c>
      <c r="C26" s="6" t="inlineStr">
        <is>
          <t>El tamaño grande de Sprite para juntadas y reuniones. Frescura lima-limón que alcanza para todos los vasos.</t>
        </is>
      </c>
      <c r="D26" s="7" t="n">
        <v>0</v>
      </c>
      <c r="E26" s="7" t="n">
        <v>0</v>
      </c>
      <c r="F26" s="7" t="n">
        <v>100</v>
      </c>
      <c r="G26" s="7" t="n">
        <v>10</v>
      </c>
      <c r="H26" s="6" t="inlineStr">
        <is>
          <t>gaseosas-lima-limon</t>
        </is>
      </c>
      <c r="I26" s="6" t="inlineStr">
        <is>
          <t>LARGE</t>
        </is>
      </c>
      <c r="J26" s="7" t="n">
        <v>2320</v>
      </c>
      <c r="K26" s="7" t="n">
        <v>38</v>
      </c>
      <c r="L26" s="7" t="n">
        <v>11</v>
      </c>
      <c r="M26" s="7" t="n">
        <v>11</v>
      </c>
      <c r="N26" s="7" t="n">
        <v>10</v>
      </c>
      <c r="O26" s="7" t="inlineStr">
        <is>
          <t>CAR,TRUCK</t>
        </is>
      </c>
    </row>
    <row r="27" ht="45" customHeight="1">
      <c r="A27" s="8" t="inlineStr">
        <is>
          <t>Sprite Sin Azúcar 500 ml</t>
        </is>
      </c>
      <c r="B27" s="8" t="inlineStr">
        <is>
          <t>sprite-sin-azucar-500-ml</t>
        </is>
      </c>
      <c r="C27" s="8" t="inlineStr">
        <is>
          <t>Toda la frescura de Sprite sin azúcar agregada. El sabor lima-limón que amás en su versión más liviana y refrescante.</t>
        </is>
      </c>
      <c r="D27" s="9" t="n">
        <v>0</v>
      </c>
      <c r="E27" s="9" t="n">
        <v>0</v>
      </c>
      <c r="F27" s="9" t="n">
        <v>100</v>
      </c>
      <c r="G27" s="9" t="n">
        <v>10</v>
      </c>
      <c r="H27" s="8" t="inlineStr">
        <is>
          <t>gaseosas-lima-limon</t>
        </is>
      </c>
      <c r="I27" s="8" t="inlineStr">
        <is>
          <t>SMALL</t>
        </is>
      </c>
      <c r="J27" s="9" t="n">
        <v>530</v>
      </c>
      <c r="K27" s="9" t="n">
        <v>22</v>
      </c>
      <c r="L27" s="9" t="n">
        <v>7</v>
      </c>
      <c r="M27" s="9" t="n">
        <v>7</v>
      </c>
      <c r="N27" s="9" t="n">
        <v>3</v>
      </c>
      <c r="O27" s="9" t="inlineStr">
        <is>
          <t>MOTO,CAR,TRUCK</t>
        </is>
      </c>
    </row>
    <row r="28" ht="45" customHeight="1">
      <c r="A28" s="6" t="inlineStr">
        <is>
          <t>Sprite Sin Azúcar 1.5 L</t>
        </is>
      </c>
      <c r="B28" s="6" t="inlineStr">
        <is>
          <t>sprite-sin-azucar-1-5-l</t>
        </is>
      </c>
      <c r="C28" s="6" t="inlineStr">
        <is>
          <t>Frescura sin azúcar para compartir. Sprite Sin Azúcar en formato familiar, ideal para la mesa de todos los días.</t>
        </is>
      </c>
      <c r="D28" s="7" t="n">
        <v>0</v>
      </c>
      <c r="E28" s="7" t="n">
        <v>0</v>
      </c>
      <c r="F28" s="7" t="n">
        <v>100</v>
      </c>
      <c r="G28" s="7" t="n">
        <v>10</v>
      </c>
      <c r="H28" s="6" t="inlineStr">
        <is>
          <t>gaseosas-lima-limon</t>
        </is>
      </c>
      <c r="I28" s="6" t="inlineStr">
        <is>
          <t>MEDIUM</t>
        </is>
      </c>
      <c r="J28" s="7" t="n">
        <v>1570</v>
      </c>
      <c r="K28" s="7" t="n">
        <v>32</v>
      </c>
      <c r="L28" s="7" t="n">
        <v>9</v>
      </c>
      <c r="M28" s="7" t="n">
        <v>9</v>
      </c>
      <c r="N28" s="7" t="n">
        <v>6</v>
      </c>
      <c r="O28" s="7" t="inlineStr">
        <is>
          <t>CAR,TRUCK</t>
        </is>
      </c>
    </row>
    <row r="29" ht="20" customHeight="1">
      <c r="A29" s="4" t="inlineStr">
        <is>
          <t>GASEOSAS · FANTA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45" customHeight="1">
      <c r="A30" s="6" t="inlineStr">
        <is>
          <t>Fanta Naranja 354 ml Lata</t>
        </is>
      </c>
      <c r="B30" s="6" t="inlineStr">
        <is>
          <t>fanta-naranja-354-ml-lata</t>
        </is>
      </c>
      <c r="C30" s="6" t="inlineStr">
        <is>
          <t>Explosión de sabor naranja en cada trago. Color vibrante y sabor frutal que te pone de buen humor. Servir bien fría.</t>
        </is>
      </c>
      <c r="D30" s="7" t="n">
        <v>0</v>
      </c>
      <c r="E30" s="7" t="n">
        <v>0</v>
      </c>
      <c r="F30" s="7" t="n">
        <v>100</v>
      </c>
      <c r="G30" s="7" t="n">
        <v>10</v>
      </c>
      <c r="H30" s="6" t="inlineStr">
        <is>
          <t>gaseosas-naranja</t>
        </is>
      </c>
      <c r="I30" s="6" t="inlineStr">
        <is>
          <t>MICRO</t>
        </is>
      </c>
      <c r="J30" s="7" t="n">
        <v>370</v>
      </c>
      <c r="K30" s="7" t="n">
        <v>12</v>
      </c>
      <c r="L30" s="7" t="n">
        <v>7</v>
      </c>
      <c r="M30" s="7" t="n">
        <v>7</v>
      </c>
      <c r="N30" s="7" t="n">
        <v>1</v>
      </c>
      <c r="O30" s="7" t="inlineStr">
        <is>
          <t>BIKE,MOTO,CAR,TRUCK</t>
        </is>
      </c>
    </row>
    <row r="31" ht="45" customHeight="1">
      <c r="A31" s="8" t="inlineStr">
        <is>
          <t>Fanta Naranja 500 ml</t>
        </is>
      </c>
      <c r="B31" s="8" t="inlineStr">
        <is>
          <t>fanta-naranja-500-ml</t>
        </is>
      </c>
      <c r="C31" s="8" t="inlineStr">
        <is>
          <t>Dale color a tu día con Fanta Naranja. Sabor frutal intenso y refrescante, ideal para disfrutar solo o acompañando tu comida favorita.</t>
        </is>
      </c>
      <c r="D31" s="9" t="n">
        <v>0</v>
      </c>
      <c r="E31" s="9" t="n">
        <v>0</v>
      </c>
      <c r="F31" s="9" t="n">
        <v>100</v>
      </c>
      <c r="G31" s="9" t="n">
        <v>10</v>
      </c>
      <c r="H31" s="8" t="inlineStr">
        <is>
          <t>gaseosas-naranja</t>
        </is>
      </c>
      <c r="I31" s="8" t="inlineStr">
        <is>
          <t>SMALL</t>
        </is>
      </c>
      <c r="J31" s="9" t="n">
        <v>540</v>
      </c>
      <c r="K31" s="9" t="n">
        <v>22</v>
      </c>
      <c r="L31" s="9" t="n">
        <v>7</v>
      </c>
      <c r="M31" s="9" t="n">
        <v>7</v>
      </c>
      <c r="N31" s="9" t="n">
        <v>3</v>
      </c>
      <c r="O31" s="9" t="inlineStr">
        <is>
          <t>MOTO,CAR,TRUCK</t>
        </is>
      </c>
    </row>
    <row r="32" ht="45" customHeight="1">
      <c r="A32" s="6" t="inlineStr">
        <is>
          <t>Fanta Naranja 1.5 L</t>
        </is>
      </c>
      <c r="B32" s="6" t="inlineStr">
        <is>
          <t>fanta-naranja-1-5-l</t>
        </is>
      </c>
      <c r="C32" s="6" t="inlineStr">
        <is>
          <t>Fanta Naranja en formato para compartir. Diversión y sabor frutal para toda la mesa, en reuniones y meriendas.</t>
        </is>
      </c>
      <c r="D32" s="7" t="n">
        <v>0</v>
      </c>
      <c r="E32" s="7" t="n">
        <v>0</v>
      </c>
      <c r="F32" s="7" t="n">
        <v>100</v>
      </c>
      <c r="G32" s="7" t="n">
        <v>10</v>
      </c>
      <c r="H32" s="6" t="inlineStr">
        <is>
          <t>gaseosas-naranja</t>
        </is>
      </c>
      <c r="I32" s="6" t="inlineStr">
        <is>
          <t>MEDIUM</t>
        </is>
      </c>
      <c r="J32" s="7" t="n">
        <v>1580</v>
      </c>
      <c r="K32" s="7" t="n">
        <v>32</v>
      </c>
      <c r="L32" s="7" t="n">
        <v>9</v>
      </c>
      <c r="M32" s="7" t="n">
        <v>9</v>
      </c>
      <c r="N32" s="7" t="n">
        <v>6</v>
      </c>
      <c r="O32" s="7" t="inlineStr">
        <is>
          <t>CAR,TRUCK</t>
        </is>
      </c>
    </row>
    <row r="33" ht="45" customHeight="1">
      <c r="A33" s="8" t="inlineStr">
        <is>
          <t>Fanta Naranja 2.25 L</t>
        </is>
      </c>
      <c r="B33" s="8" t="inlineStr">
        <is>
          <t>fanta-naranja-2-25-l</t>
        </is>
      </c>
      <c r="C33" s="8" t="inlineStr">
        <is>
          <t>El tamaño grande de Fanta para las juntadas más divertidas. Sabor naranja vibrante para todos los vasos.</t>
        </is>
      </c>
      <c r="D33" s="9" t="n">
        <v>0</v>
      </c>
      <c r="E33" s="9" t="n">
        <v>0</v>
      </c>
      <c r="F33" s="9" t="n">
        <v>100</v>
      </c>
      <c r="G33" s="9" t="n">
        <v>10</v>
      </c>
      <c r="H33" s="8" t="inlineStr">
        <is>
          <t>gaseosas-naranja</t>
        </is>
      </c>
      <c r="I33" s="8" t="inlineStr">
        <is>
          <t>LARGE</t>
        </is>
      </c>
      <c r="J33" s="9" t="n">
        <v>2330</v>
      </c>
      <c r="K33" s="9" t="n">
        <v>38</v>
      </c>
      <c r="L33" s="9" t="n">
        <v>11</v>
      </c>
      <c r="M33" s="9" t="n">
        <v>11</v>
      </c>
      <c r="N33" s="9" t="n">
        <v>10</v>
      </c>
      <c r="O33" s="9" t="inlineStr">
        <is>
          <t>CAR,TRUCK</t>
        </is>
      </c>
    </row>
    <row r="34" ht="45" customHeight="1">
      <c r="A34" s="6" t="inlineStr">
        <is>
          <t>Fanta Uva 500 ml</t>
        </is>
      </c>
      <c r="B34" s="6" t="inlineStr">
        <is>
          <t>fanta-uva-500-ml</t>
        </is>
      </c>
      <c r="C34" s="6" t="inlineStr">
        <is>
          <t>El sabor único de la uva en una gaseosa irresistible. Color morado vibrante y dulzura frutal que enamora a primera vista.</t>
        </is>
      </c>
      <c r="D34" s="7" t="n">
        <v>0</v>
      </c>
      <c r="E34" s="7" t="n">
        <v>0</v>
      </c>
      <c r="F34" s="7" t="n">
        <v>100</v>
      </c>
      <c r="G34" s="7" t="n">
        <v>10</v>
      </c>
      <c r="H34" s="6" t="inlineStr">
        <is>
          <t>gaseosas-uva</t>
        </is>
      </c>
      <c r="I34" s="6" t="inlineStr">
        <is>
          <t>SMALL</t>
        </is>
      </c>
      <c r="J34" s="7" t="n">
        <v>540</v>
      </c>
      <c r="K34" s="7" t="n">
        <v>22</v>
      </c>
      <c r="L34" s="7" t="n">
        <v>7</v>
      </c>
      <c r="M34" s="7" t="n">
        <v>7</v>
      </c>
      <c r="N34" s="7" t="n">
        <v>3</v>
      </c>
      <c r="O34" s="7" t="inlineStr">
        <is>
          <t>MOTO,CAR,TRUCK</t>
        </is>
      </c>
    </row>
    <row r="35" ht="45" customHeight="1">
      <c r="A35" s="8" t="inlineStr">
        <is>
          <t>Fanta Uva 1.5 L</t>
        </is>
      </c>
      <c r="B35" s="8" t="inlineStr">
        <is>
          <t>fanta-uva-1-5-l</t>
        </is>
      </c>
      <c r="C35" s="8" t="inlineStr">
        <is>
          <t>Fanta Uva para compartir. El sabor dulce y afrutado de la uva en formato familiar para disfrutar en la mesa.</t>
        </is>
      </c>
      <c r="D35" s="9" t="n">
        <v>0</v>
      </c>
      <c r="E35" s="9" t="n">
        <v>0</v>
      </c>
      <c r="F35" s="9" t="n">
        <v>100</v>
      </c>
      <c r="G35" s="9" t="n">
        <v>10</v>
      </c>
      <c r="H35" s="8" t="inlineStr">
        <is>
          <t>gaseosas-uva</t>
        </is>
      </c>
      <c r="I35" s="8" t="inlineStr">
        <is>
          <t>MEDIUM</t>
        </is>
      </c>
      <c r="J35" s="9" t="n">
        <v>1580</v>
      </c>
      <c r="K35" s="9" t="n">
        <v>32</v>
      </c>
      <c r="L35" s="9" t="n">
        <v>9</v>
      </c>
      <c r="M35" s="9" t="n">
        <v>9</v>
      </c>
      <c r="N35" s="9" t="n">
        <v>6</v>
      </c>
      <c r="O35" s="9" t="inlineStr">
        <is>
          <t>CAR,TRUCK</t>
        </is>
      </c>
    </row>
    <row r="36" ht="45" customHeight="1">
      <c r="A36" s="6" t="inlineStr">
        <is>
          <t>Fanta Misterio 500 ml</t>
        </is>
      </c>
      <c r="B36" s="6" t="inlineStr">
        <is>
          <t>fanta-misterio-500-ml</t>
        </is>
      </c>
      <c r="C36" s="6" t="inlineStr">
        <is>
          <t>¿Te animás a descubrir el sabor? Fanta Misterio desafía tus sentidos con un gusto sorpresa que solo vos podés adivinar. Edición limitada.</t>
        </is>
      </c>
      <c r="D36" s="7" t="n">
        <v>0</v>
      </c>
      <c r="E36" s="7" t="n">
        <v>0</v>
      </c>
      <c r="F36" s="7" t="n">
        <v>100</v>
      </c>
      <c r="G36" s="7" t="n">
        <v>10</v>
      </c>
      <c r="H36" s="6" t="inlineStr">
        <is>
          <t>gaseosas-saborizadas</t>
        </is>
      </c>
      <c r="I36" s="6" t="inlineStr">
        <is>
          <t>SMALL</t>
        </is>
      </c>
      <c r="J36" s="7" t="n">
        <v>540</v>
      </c>
      <c r="K36" s="7" t="n">
        <v>22</v>
      </c>
      <c r="L36" s="7" t="n">
        <v>7</v>
      </c>
      <c r="M36" s="7" t="n">
        <v>7</v>
      </c>
      <c r="N36" s="7" t="n">
        <v>3</v>
      </c>
      <c r="O36" s="7" t="inlineStr">
        <is>
          <t>MOTO,CAR,TRUCK</t>
        </is>
      </c>
    </row>
    <row r="37" ht="45" customHeight="1">
      <c r="A37" s="8" t="inlineStr">
        <is>
          <t>Fanta Pomelo 1.5 L</t>
        </is>
      </c>
      <c r="B37" s="8" t="inlineStr">
        <is>
          <t>fanta-pomelo-1-5-l</t>
        </is>
      </c>
      <c r="C37" s="8" t="inlineStr">
        <is>
          <t>Fanta con el sabor cítrico del pomelo. Refrescante, diferente y con la onda que solo Fanta puede darte.</t>
        </is>
      </c>
      <c r="D37" s="9" t="n">
        <v>0</v>
      </c>
      <c r="E37" s="9" t="n">
        <v>0</v>
      </c>
      <c r="F37" s="9" t="n">
        <v>100</v>
      </c>
      <c r="G37" s="9" t="n">
        <v>10</v>
      </c>
      <c r="H37" s="8" t="inlineStr">
        <is>
          <t>gaseosas-saborizadas</t>
        </is>
      </c>
      <c r="I37" s="8" t="inlineStr">
        <is>
          <t>MEDIUM</t>
        </is>
      </c>
      <c r="J37" s="9" t="n">
        <v>1580</v>
      </c>
      <c r="K37" s="9" t="n">
        <v>32</v>
      </c>
      <c r="L37" s="9" t="n">
        <v>9</v>
      </c>
      <c r="M37" s="9" t="n">
        <v>9</v>
      </c>
      <c r="N37" s="9" t="n">
        <v>6</v>
      </c>
      <c r="O37" s="9" t="inlineStr">
        <is>
          <t>CAR,TRUCK</t>
        </is>
      </c>
    </row>
    <row r="38" ht="20" customHeight="1">
      <c r="A38" s="4" t="inlineStr">
        <is>
          <t>GASEOSAS · SCHWEPPES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45" customHeight="1">
      <c r="A39" s="6" t="inlineStr">
        <is>
          <t>Schweppes Pomelo 354 ml Lata</t>
        </is>
      </c>
      <c r="B39" s="6" t="inlineStr">
        <is>
          <t>schweppes-pomelo-354-ml-lata</t>
        </is>
      </c>
      <c r="C39" s="6" t="inlineStr">
        <is>
          <t>El inconfundible sabor cítrico de pomelo con un toque amargo que refresca de verdad. Elegancia y burbujas en cada sorbo.</t>
        </is>
      </c>
      <c r="D39" s="7" t="n">
        <v>0</v>
      </c>
      <c r="E39" s="7" t="n">
        <v>0</v>
      </c>
      <c r="F39" s="7" t="n">
        <v>100</v>
      </c>
      <c r="G39" s="7" t="n">
        <v>10</v>
      </c>
      <c r="H39" s="6" t="inlineStr">
        <is>
          <t>gaseosas-pomelo</t>
        </is>
      </c>
      <c r="I39" s="6" t="inlineStr">
        <is>
          <t>MICRO</t>
        </is>
      </c>
      <c r="J39" s="7" t="n">
        <v>370</v>
      </c>
      <c r="K39" s="7" t="n">
        <v>12</v>
      </c>
      <c r="L39" s="7" t="n">
        <v>7</v>
      </c>
      <c r="M39" s="7" t="n">
        <v>7</v>
      </c>
      <c r="N39" s="7" t="n">
        <v>1</v>
      </c>
      <c r="O39" s="7" t="inlineStr">
        <is>
          <t>BIKE,MOTO,CAR,TRUCK</t>
        </is>
      </c>
    </row>
    <row r="40" ht="45" customHeight="1">
      <c r="A40" s="8" t="inlineStr">
        <is>
          <t>Schweppes Pomelo 500 ml</t>
        </is>
      </c>
      <c r="B40" s="8" t="inlineStr">
        <is>
          <t>schweppes-pomelo-500-ml</t>
        </is>
      </c>
      <c r="C40" s="8" t="inlineStr">
        <is>
          <t>Schweppes Pomelo con su carácter cítrico único. Refrescante solo con hielo o como base de tus tragos favoritos.</t>
        </is>
      </c>
      <c r="D40" s="9" t="n">
        <v>0</v>
      </c>
      <c r="E40" s="9" t="n">
        <v>0</v>
      </c>
      <c r="F40" s="9" t="n">
        <v>100</v>
      </c>
      <c r="G40" s="9" t="n">
        <v>10</v>
      </c>
      <c r="H40" s="8" t="inlineStr">
        <is>
          <t>gaseosas-pomelo</t>
        </is>
      </c>
      <c r="I40" s="8" t="inlineStr">
        <is>
          <t>SMALL</t>
        </is>
      </c>
      <c r="J40" s="9" t="n">
        <v>535</v>
      </c>
      <c r="K40" s="9" t="n">
        <v>22</v>
      </c>
      <c r="L40" s="9" t="n">
        <v>7</v>
      </c>
      <c r="M40" s="9" t="n">
        <v>7</v>
      </c>
      <c r="N40" s="9" t="n">
        <v>3</v>
      </c>
      <c r="O40" s="9" t="inlineStr">
        <is>
          <t>MOTO,CAR,TRUCK</t>
        </is>
      </c>
    </row>
    <row r="41" ht="45" customHeight="1">
      <c r="A41" s="6" t="inlineStr">
        <is>
          <t>Schweppes Pomelo 1.5 L</t>
        </is>
      </c>
      <c r="B41" s="6" t="inlineStr">
        <is>
          <t>schweppes-pomelo-1-5-l</t>
        </is>
      </c>
      <c r="C41" s="6" t="inlineStr">
        <is>
          <t>Schweppes Pomelo para compartir. Sabor cítrico sofisticado, ideal para acompañar comidas o preparar tragos.</t>
        </is>
      </c>
      <c r="D41" s="7" t="n">
        <v>0</v>
      </c>
      <c r="E41" s="7" t="n">
        <v>0</v>
      </c>
      <c r="F41" s="7" t="n">
        <v>100</v>
      </c>
      <c r="G41" s="7" t="n">
        <v>10</v>
      </c>
      <c r="H41" s="6" t="inlineStr">
        <is>
          <t>gaseosas-pomelo</t>
        </is>
      </c>
      <c r="I41" s="6" t="inlineStr">
        <is>
          <t>MEDIUM</t>
        </is>
      </c>
      <c r="J41" s="7" t="n">
        <v>1575</v>
      </c>
      <c r="K41" s="7" t="n">
        <v>32</v>
      </c>
      <c r="L41" s="7" t="n">
        <v>9</v>
      </c>
      <c r="M41" s="7" t="n">
        <v>9</v>
      </c>
      <c r="N41" s="7" t="n">
        <v>6</v>
      </c>
      <c r="O41" s="7" t="inlineStr">
        <is>
          <t>CAR,TRUCK</t>
        </is>
      </c>
    </row>
    <row r="42" ht="45" customHeight="1">
      <c r="A42" s="8" t="inlineStr">
        <is>
          <t>Schweppes Pomelo Zero 500 ml</t>
        </is>
      </c>
      <c r="B42" s="8" t="inlineStr">
        <is>
          <t>schweppes-pomelo-zero-500-ml</t>
        </is>
      </c>
      <c r="C42" s="8" t="inlineStr">
        <is>
          <t>Todo el carácter del pomelo Schweppes sin azúcar. Mismo sabor sofisticado, cero culpa.</t>
        </is>
      </c>
      <c r="D42" s="9" t="n">
        <v>0</v>
      </c>
      <c r="E42" s="9" t="n">
        <v>0</v>
      </c>
      <c r="F42" s="9" t="n">
        <v>100</v>
      </c>
      <c r="G42" s="9" t="n">
        <v>10</v>
      </c>
      <c r="H42" s="8" t="inlineStr">
        <is>
          <t>gaseosas-pomelo</t>
        </is>
      </c>
      <c r="I42" s="8" t="inlineStr">
        <is>
          <t>SMALL</t>
        </is>
      </c>
      <c r="J42" s="9" t="n">
        <v>530</v>
      </c>
      <c r="K42" s="9" t="n">
        <v>22</v>
      </c>
      <c r="L42" s="9" t="n">
        <v>7</v>
      </c>
      <c r="M42" s="9" t="n">
        <v>7</v>
      </c>
      <c r="N42" s="9" t="n">
        <v>3</v>
      </c>
      <c r="O42" s="9" t="inlineStr">
        <is>
          <t>MOTO,CAR,TRUCK</t>
        </is>
      </c>
    </row>
    <row r="43" ht="45" customHeight="1">
      <c r="A43" s="6" t="inlineStr">
        <is>
          <t>Schweppes Pomelo Zero 2.25 L</t>
        </is>
      </c>
      <c r="B43" s="6" t="inlineStr">
        <is>
          <t>schweppes-pomelo-zero-2-25-l</t>
        </is>
      </c>
      <c r="C43" s="6" t="inlineStr">
        <is>
          <t>Schweppes Pomelo Zero en formato grande. Cítrico, sin azúcar y perfecto para reuniones con amigos.</t>
        </is>
      </c>
      <c r="D43" s="7" t="n">
        <v>0</v>
      </c>
      <c r="E43" s="7" t="n">
        <v>0</v>
      </c>
      <c r="F43" s="7" t="n">
        <v>100</v>
      </c>
      <c r="G43" s="7" t="n">
        <v>10</v>
      </c>
      <c r="H43" s="6" t="inlineStr">
        <is>
          <t>gaseosas-pomelo</t>
        </is>
      </c>
      <c r="I43" s="6" t="inlineStr">
        <is>
          <t>LARGE</t>
        </is>
      </c>
      <c r="J43" s="7" t="n">
        <v>2320</v>
      </c>
      <c r="K43" s="7" t="n">
        <v>38</v>
      </c>
      <c r="L43" s="7" t="n">
        <v>11</v>
      </c>
      <c r="M43" s="7" t="n">
        <v>11</v>
      </c>
      <c r="N43" s="7" t="n">
        <v>10</v>
      </c>
      <c r="O43" s="7" t="inlineStr">
        <is>
          <t>CAR,TRUCK</t>
        </is>
      </c>
    </row>
    <row r="44" ht="45" customHeight="1">
      <c r="A44" s="8" t="inlineStr">
        <is>
          <t>Schweppes Tónica 354 ml Lata</t>
        </is>
      </c>
      <c r="B44" s="8" t="inlineStr">
        <is>
          <t>schweppes-tonica-354-ml-lata</t>
        </is>
      </c>
      <c r="C44" s="8" t="inlineStr">
        <is>
          <t>La tónica clásica premium, equilibrada y burbujeante. Ideal sola con hielo y limón o como base de tu gin tonic perfecto.</t>
        </is>
      </c>
      <c r="D44" s="9" t="n">
        <v>0</v>
      </c>
      <c r="E44" s="9" t="n">
        <v>0</v>
      </c>
      <c r="F44" s="9" t="n">
        <v>100</v>
      </c>
      <c r="G44" s="9" t="n">
        <v>10</v>
      </c>
      <c r="H44" s="8" t="inlineStr">
        <is>
          <t>tonicas-mixers</t>
        </is>
      </c>
      <c r="I44" s="8" t="inlineStr">
        <is>
          <t>MICRO</t>
        </is>
      </c>
      <c r="J44" s="9" t="n">
        <v>375</v>
      </c>
      <c r="K44" s="9" t="n">
        <v>12</v>
      </c>
      <c r="L44" s="9" t="n">
        <v>7</v>
      </c>
      <c r="M44" s="9" t="n">
        <v>7</v>
      </c>
      <c r="N44" s="9" t="n">
        <v>1</v>
      </c>
      <c r="O44" s="9" t="inlineStr">
        <is>
          <t>BIKE,MOTO,CAR,TRUCK</t>
        </is>
      </c>
    </row>
    <row r="45" ht="45" customHeight="1">
      <c r="A45" s="6" t="inlineStr">
        <is>
          <t>Schweppes Tónica 1.5 L</t>
        </is>
      </c>
      <c r="B45" s="6" t="inlineStr">
        <is>
          <t>schweppes-tonica-1-5-l</t>
        </is>
      </c>
      <c r="C45" s="6" t="inlineStr">
        <is>
          <t>Agua tónica premium en formato grande. Burbujas finas y amargor perfecto para tus cócteles o para disfrutar sola.</t>
        </is>
      </c>
      <c r="D45" s="7" t="n">
        <v>0</v>
      </c>
      <c r="E45" s="7" t="n">
        <v>0</v>
      </c>
      <c r="F45" s="7" t="n">
        <v>100</v>
      </c>
      <c r="G45" s="7" t="n">
        <v>10</v>
      </c>
      <c r="H45" s="6" t="inlineStr">
        <is>
          <t>tonicas-mixers</t>
        </is>
      </c>
      <c r="I45" s="6" t="inlineStr">
        <is>
          <t>MEDIUM</t>
        </is>
      </c>
      <c r="J45" s="7" t="n">
        <v>1575</v>
      </c>
      <c r="K45" s="7" t="n">
        <v>32</v>
      </c>
      <c r="L45" s="7" t="n">
        <v>9</v>
      </c>
      <c r="M45" s="7" t="n">
        <v>9</v>
      </c>
      <c r="N45" s="7" t="n">
        <v>6</v>
      </c>
      <c r="O45" s="7" t="inlineStr">
        <is>
          <t>CAR,TRUCK</t>
        </is>
      </c>
    </row>
    <row r="46" ht="20" customHeight="1">
      <c r="A46" s="4" t="inlineStr">
        <is>
          <t>TÓNICAS Y MIXERS · KIN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45" customHeight="1">
      <c r="A47" s="6" t="inlineStr">
        <is>
          <t>Kin Tónica 354 ml Lata</t>
        </is>
      </c>
      <c r="B47" s="6" t="inlineStr">
        <is>
          <t>kin-tonica-354-ml-lata</t>
        </is>
      </c>
      <c r="C47" s="6" t="inlineStr">
        <is>
          <t>La tónica argentina por excelencia. Burbujas finas y amargor equilibrado, ideal sola o para tu gin tonic perfecto.</t>
        </is>
      </c>
      <c r="D47" s="7" t="n">
        <v>0</v>
      </c>
      <c r="E47" s="7" t="n">
        <v>0</v>
      </c>
      <c r="F47" s="7" t="n">
        <v>100</v>
      </c>
      <c r="G47" s="7" t="n">
        <v>10</v>
      </c>
      <c r="H47" s="6" t="inlineStr">
        <is>
          <t>tonicas-mixers</t>
        </is>
      </c>
      <c r="I47" s="6" t="inlineStr">
        <is>
          <t>MICRO</t>
        </is>
      </c>
      <c r="J47" s="7" t="n">
        <v>375</v>
      </c>
      <c r="K47" s="7" t="n">
        <v>12</v>
      </c>
      <c r="L47" s="7" t="n">
        <v>7</v>
      </c>
      <c r="M47" s="7" t="n">
        <v>7</v>
      </c>
      <c r="N47" s="7" t="n">
        <v>1</v>
      </c>
      <c r="O47" s="7" t="inlineStr">
        <is>
          <t>BIKE,MOTO,CAR,TRUCK</t>
        </is>
      </c>
    </row>
    <row r="48" ht="45" customHeight="1">
      <c r="A48" s="8" t="inlineStr">
        <is>
          <t>Kin Tónica 1.5 L</t>
        </is>
      </c>
      <c r="B48" s="8" t="inlineStr">
        <is>
          <t>kin-tonica-1-5-l</t>
        </is>
      </c>
      <c r="C48" s="8" t="inlineStr">
        <is>
          <t>Kin Tónica formato grande. El mixer clásico argentino para reuniones y tragos, con su sabor inconfundible.</t>
        </is>
      </c>
      <c r="D48" s="9" t="n">
        <v>0</v>
      </c>
      <c r="E48" s="9" t="n">
        <v>0</v>
      </c>
      <c r="F48" s="9" t="n">
        <v>100</v>
      </c>
      <c r="G48" s="9" t="n">
        <v>10</v>
      </c>
      <c r="H48" s="8" t="inlineStr">
        <is>
          <t>tonicas-mixers</t>
        </is>
      </c>
      <c r="I48" s="8" t="inlineStr">
        <is>
          <t>MEDIUM</t>
        </is>
      </c>
      <c r="J48" s="9" t="n">
        <v>1575</v>
      </c>
      <c r="K48" s="9" t="n">
        <v>32</v>
      </c>
      <c r="L48" s="9" t="n">
        <v>9</v>
      </c>
      <c r="M48" s="9" t="n">
        <v>9</v>
      </c>
      <c r="N48" s="9" t="n">
        <v>6</v>
      </c>
      <c r="O48" s="9" t="inlineStr">
        <is>
          <t>CAR,TRUCK</t>
        </is>
      </c>
    </row>
    <row r="49" ht="45" customHeight="1">
      <c r="A49" s="6" t="inlineStr">
        <is>
          <t>Kin Pomelo 354 ml Lata</t>
        </is>
      </c>
      <c r="B49" s="6" t="inlineStr">
        <is>
          <t>kin-pomelo-354-ml-lata</t>
        </is>
      </c>
      <c r="C49" s="6" t="inlineStr">
        <is>
          <t>Kin con sabor a pomelo: cítrico, refrescante y perfecto como mixer o para disfrutar solo con hielo y limón.</t>
        </is>
      </c>
      <c r="D49" s="7" t="n">
        <v>0</v>
      </c>
      <c r="E49" s="7" t="n">
        <v>0</v>
      </c>
      <c r="F49" s="7" t="n">
        <v>100</v>
      </c>
      <c r="G49" s="7" t="n">
        <v>10</v>
      </c>
      <c r="H49" s="6" t="inlineStr">
        <is>
          <t>tonicas-mixers</t>
        </is>
      </c>
      <c r="I49" s="6" t="inlineStr">
        <is>
          <t>MICRO</t>
        </is>
      </c>
      <c r="J49" s="7" t="n">
        <v>370</v>
      </c>
      <c r="K49" s="7" t="n">
        <v>12</v>
      </c>
      <c r="L49" s="7" t="n">
        <v>7</v>
      </c>
      <c r="M49" s="7" t="n">
        <v>7</v>
      </c>
      <c r="N49" s="7" t="n">
        <v>1</v>
      </c>
      <c r="O49" s="7" t="inlineStr">
        <is>
          <t>BIKE,MOTO,CAR,TRUCK</t>
        </is>
      </c>
    </row>
    <row r="50" ht="45" customHeight="1">
      <c r="A50" s="8" t="inlineStr">
        <is>
          <t>Kin Pomelo 1.5 L</t>
        </is>
      </c>
      <c r="B50" s="8" t="inlineStr">
        <is>
          <t>kin-pomelo-1-5-l</t>
        </is>
      </c>
      <c r="C50" s="8" t="inlineStr">
        <is>
          <t>Kin Pomelo formato grande. Sabor cítrico refrescante para tragos y reuniones con amigos.</t>
        </is>
      </c>
      <c r="D50" s="9" t="n">
        <v>0</v>
      </c>
      <c r="E50" s="9" t="n">
        <v>0</v>
      </c>
      <c r="F50" s="9" t="n">
        <v>100</v>
      </c>
      <c r="G50" s="9" t="n">
        <v>10</v>
      </c>
      <c r="H50" s="8" t="inlineStr">
        <is>
          <t>tonicas-mixers</t>
        </is>
      </c>
      <c r="I50" s="8" t="inlineStr">
        <is>
          <t>MEDIUM</t>
        </is>
      </c>
      <c r="J50" s="9" t="n">
        <v>1575</v>
      </c>
      <c r="K50" s="9" t="n">
        <v>32</v>
      </c>
      <c r="L50" s="9" t="n">
        <v>9</v>
      </c>
      <c r="M50" s="9" t="n">
        <v>9</v>
      </c>
      <c r="N50" s="9" t="n">
        <v>6</v>
      </c>
      <c r="O50" s="9" t="inlineStr">
        <is>
          <t>CAR,TRUCK</t>
        </is>
      </c>
    </row>
    <row r="51" ht="20" customHeight="1">
      <c r="A51" s="4" t="inlineStr">
        <is>
          <t>AGUAS SABORIZADAS · AQUARIUS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45" customHeight="1">
      <c r="A52" s="6" t="inlineStr">
        <is>
          <t>Aquarius Pomelo Rosado 600 ml</t>
        </is>
      </c>
      <c r="B52" s="6" t="inlineStr">
        <is>
          <t>aquarius-pomelo-rosado-600-ml</t>
        </is>
      </c>
      <c r="C52" s="6" t="inlineStr">
        <is>
          <t>Refrescate con Aquarius Pomelo Rosado. Agua saborizada baja en calorías con el toque justo de cítricos para hidratarte con sabor.</t>
        </is>
      </c>
      <c r="D52" s="7" t="n">
        <v>0</v>
      </c>
      <c r="E52" s="7" t="n">
        <v>0</v>
      </c>
      <c r="F52" s="7" t="n">
        <v>100</v>
      </c>
      <c r="G52" s="7" t="n">
        <v>10</v>
      </c>
      <c r="H52" s="6" t="inlineStr">
        <is>
          <t>aguas-saborizadas</t>
        </is>
      </c>
      <c r="I52" s="6" t="inlineStr">
        <is>
          <t>SMALL</t>
        </is>
      </c>
      <c r="J52" s="7" t="n">
        <v>625</v>
      </c>
      <c r="K52" s="7" t="n">
        <v>24</v>
      </c>
      <c r="L52" s="7" t="n">
        <v>7</v>
      </c>
      <c r="M52" s="7" t="n">
        <v>7</v>
      </c>
      <c r="N52" s="7" t="n">
        <v>3</v>
      </c>
      <c r="O52" s="7" t="inlineStr">
        <is>
          <t>MOTO,CAR,TRUCK</t>
        </is>
      </c>
    </row>
    <row r="53" ht="45" customHeight="1">
      <c r="A53" s="8" t="inlineStr">
        <is>
          <t>Aquarius Pomelo Rosado 1.5 L</t>
        </is>
      </c>
      <c r="B53" s="8" t="inlineStr">
        <is>
          <t>aquarius-pomelo-rosado-1-5-l</t>
        </is>
      </c>
      <c r="C53" s="8" t="inlineStr">
        <is>
          <t>Aquarius Pomelo Rosado para toda la familia. Hidratación con sabor cítrico, liviana y refrescante para la mesa.</t>
        </is>
      </c>
      <c r="D53" s="9" t="n">
        <v>0</v>
      </c>
      <c r="E53" s="9" t="n">
        <v>0</v>
      </c>
      <c r="F53" s="9" t="n">
        <v>100</v>
      </c>
      <c r="G53" s="9" t="n">
        <v>10</v>
      </c>
      <c r="H53" s="8" t="inlineStr">
        <is>
          <t>aguas-saborizadas</t>
        </is>
      </c>
      <c r="I53" s="8" t="inlineStr">
        <is>
          <t>MEDIUM</t>
        </is>
      </c>
      <c r="J53" s="9" t="n">
        <v>1570</v>
      </c>
      <c r="K53" s="9" t="n">
        <v>32</v>
      </c>
      <c r="L53" s="9" t="n">
        <v>9</v>
      </c>
      <c r="M53" s="9" t="n">
        <v>9</v>
      </c>
      <c r="N53" s="9" t="n">
        <v>6</v>
      </c>
      <c r="O53" s="9" t="inlineStr">
        <is>
          <t>CAR,TRUCK</t>
        </is>
      </c>
    </row>
    <row r="54" ht="45" customHeight="1">
      <c r="A54" s="6" t="inlineStr">
        <is>
          <t>Aquarius Ananá y Jengibre 600 ml</t>
        </is>
      </c>
      <c r="B54" s="6" t="inlineStr">
        <is>
          <t>aquarius-anana-y-jengibre-600-ml</t>
        </is>
      </c>
      <c r="C54" s="6" t="inlineStr">
        <is>
          <t>La combinación tropical de ananá con un toque de jengibre. Hidratación con un sabor único, fresco y diferente.</t>
        </is>
      </c>
      <c r="D54" s="7" t="n">
        <v>0</v>
      </c>
      <c r="E54" s="7" t="n">
        <v>0</v>
      </c>
      <c r="F54" s="7" t="n">
        <v>100</v>
      </c>
      <c r="G54" s="7" t="n">
        <v>10</v>
      </c>
      <c r="H54" s="6" t="inlineStr">
        <is>
          <t>aguas-saborizadas</t>
        </is>
      </c>
      <c r="I54" s="6" t="inlineStr">
        <is>
          <t>SMALL</t>
        </is>
      </c>
      <c r="J54" s="7" t="n">
        <v>625</v>
      </c>
      <c r="K54" s="7" t="n">
        <v>24</v>
      </c>
      <c r="L54" s="7" t="n">
        <v>7</v>
      </c>
      <c r="M54" s="7" t="n">
        <v>7</v>
      </c>
      <c r="N54" s="7" t="n">
        <v>3</v>
      </c>
      <c r="O54" s="7" t="inlineStr">
        <is>
          <t>MOTO,CAR,TRUCK</t>
        </is>
      </c>
    </row>
    <row r="55" ht="45" customHeight="1">
      <c r="A55" s="8" t="inlineStr">
        <is>
          <t>Aquarius Ananá y Jengibre 1.5 L</t>
        </is>
      </c>
      <c r="B55" s="8" t="inlineStr">
        <is>
          <t>aquarius-anana-y-jengibre-1-5-l</t>
        </is>
      </c>
      <c r="C55" s="8" t="inlineStr">
        <is>
          <t>Aquarius Ananá y Jengibre en formato familiar. Sabor tropical y refrescante para compartir en la mesa.</t>
        </is>
      </c>
      <c r="D55" s="9" t="n">
        <v>0</v>
      </c>
      <c r="E55" s="9" t="n">
        <v>0</v>
      </c>
      <c r="F55" s="9" t="n">
        <v>100</v>
      </c>
      <c r="G55" s="9" t="n">
        <v>10</v>
      </c>
      <c r="H55" s="8" t="inlineStr">
        <is>
          <t>aguas-saborizadas</t>
        </is>
      </c>
      <c r="I55" s="8" t="inlineStr">
        <is>
          <t>MEDIUM</t>
        </is>
      </c>
      <c r="J55" s="9" t="n">
        <v>1570</v>
      </c>
      <c r="K55" s="9" t="n">
        <v>32</v>
      </c>
      <c r="L55" s="9" t="n">
        <v>9</v>
      </c>
      <c r="M55" s="9" t="n">
        <v>9</v>
      </c>
      <c r="N55" s="9" t="n">
        <v>6</v>
      </c>
      <c r="O55" s="9" t="inlineStr">
        <is>
          <t>CAR,TRUCK</t>
        </is>
      </c>
    </row>
    <row r="56" ht="45" customHeight="1">
      <c r="A56" s="6" t="inlineStr">
        <is>
          <t>Aquarius Manzana 600 ml</t>
        </is>
      </c>
      <c r="B56" s="6" t="inlineStr">
        <is>
          <t>aquarius-manzana-600-ml</t>
        </is>
      </c>
      <c r="C56" s="6" t="inlineStr">
        <is>
          <t>El sabor suave y natural de la manzana en un agua saborizada liviana. Perfecta para hidratarte todo el día.</t>
        </is>
      </c>
      <c r="D56" s="7" t="n">
        <v>0</v>
      </c>
      <c r="E56" s="7" t="n">
        <v>0</v>
      </c>
      <c r="F56" s="7" t="n">
        <v>100</v>
      </c>
      <c r="G56" s="7" t="n">
        <v>10</v>
      </c>
      <c r="H56" s="6" t="inlineStr">
        <is>
          <t>aguas-saborizadas</t>
        </is>
      </c>
      <c r="I56" s="6" t="inlineStr">
        <is>
          <t>SMALL</t>
        </is>
      </c>
      <c r="J56" s="7" t="n">
        <v>625</v>
      </c>
      <c r="K56" s="7" t="n">
        <v>24</v>
      </c>
      <c r="L56" s="7" t="n">
        <v>7</v>
      </c>
      <c r="M56" s="7" t="n">
        <v>7</v>
      </c>
      <c r="N56" s="7" t="n">
        <v>3</v>
      </c>
      <c r="O56" s="7" t="inlineStr">
        <is>
          <t>MOTO,CAR,TRUCK</t>
        </is>
      </c>
    </row>
    <row r="57" ht="45" customHeight="1">
      <c r="A57" s="8" t="inlineStr">
        <is>
          <t>Aquarius Manzana 1.5 L</t>
        </is>
      </c>
      <c r="B57" s="8" t="inlineStr">
        <is>
          <t>aquarius-manzana-1-5-l</t>
        </is>
      </c>
      <c r="C57" s="8" t="inlineStr">
        <is>
          <t>Aquarius Manzana para compartir. Hidratación con sabor frutal suave, baja en calorías y refrescante.</t>
        </is>
      </c>
      <c r="D57" s="9" t="n">
        <v>0</v>
      </c>
      <c r="E57" s="9" t="n">
        <v>0</v>
      </c>
      <c r="F57" s="9" t="n">
        <v>100</v>
      </c>
      <c r="G57" s="9" t="n">
        <v>10</v>
      </c>
      <c r="H57" s="8" t="inlineStr">
        <is>
          <t>aguas-saborizadas</t>
        </is>
      </c>
      <c r="I57" s="8" t="inlineStr">
        <is>
          <t>MEDIUM</t>
        </is>
      </c>
      <c r="J57" s="9" t="n">
        <v>1570</v>
      </c>
      <c r="K57" s="9" t="n">
        <v>32</v>
      </c>
      <c r="L57" s="9" t="n">
        <v>9</v>
      </c>
      <c r="M57" s="9" t="n">
        <v>9</v>
      </c>
      <c r="N57" s="9" t="n">
        <v>6</v>
      </c>
      <c r="O57" s="9" t="inlineStr">
        <is>
          <t>CAR,TRUCK</t>
        </is>
      </c>
    </row>
    <row r="58" ht="45" customHeight="1">
      <c r="A58" s="6" t="inlineStr">
        <is>
          <t>Aquarius Pera 600 ml</t>
        </is>
      </c>
      <c r="B58" s="6" t="inlineStr">
        <is>
          <t>aquarius-pera-600-ml</t>
        </is>
      </c>
      <c r="C58" s="6" t="inlineStr">
        <is>
          <t>El sabor delicado de la pera en Aquarius. Agua saborizada liviana y refrescante para cada momento del día.</t>
        </is>
      </c>
      <c r="D58" s="7" t="n">
        <v>0</v>
      </c>
      <c r="E58" s="7" t="n">
        <v>0</v>
      </c>
      <c r="F58" s="7" t="n">
        <v>100</v>
      </c>
      <c r="G58" s="7" t="n">
        <v>10</v>
      </c>
      <c r="H58" s="6" t="inlineStr">
        <is>
          <t>aguas-saborizadas</t>
        </is>
      </c>
      <c r="I58" s="6" t="inlineStr">
        <is>
          <t>SMALL</t>
        </is>
      </c>
      <c r="J58" s="7" t="n">
        <v>625</v>
      </c>
      <c r="K58" s="7" t="n">
        <v>24</v>
      </c>
      <c r="L58" s="7" t="n">
        <v>7</v>
      </c>
      <c r="M58" s="7" t="n">
        <v>7</v>
      </c>
      <c r="N58" s="7" t="n">
        <v>3</v>
      </c>
      <c r="O58" s="7" t="inlineStr">
        <is>
          <t>MOTO,CAR,TRUCK</t>
        </is>
      </c>
    </row>
    <row r="59" ht="20" customHeight="1">
      <c r="A59" s="4" t="inlineStr">
        <is>
          <t>BEBIDAS ISOTÓNICAS · POWERADE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 ht="45" customHeight="1">
      <c r="A60" s="6" t="inlineStr">
        <is>
          <t>Powerade ION4 Mountain Blast 500 ml</t>
        </is>
      </c>
      <c r="B60" s="6" t="inlineStr">
        <is>
          <t>powerade-ion4-mountain-blast-500-ml</t>
        </is>
      </c>
      <c r="C60" s="6" t="inlineStr">
        <is>
          <t>Hidratación avanzada con ION4 para reponer lo que perdés al entrenar. Sabor cítrico refrescante, la elección de los atletas.</t>
        </is>
      </c>
      <c r="D60" s="7" t="n">
        <v>0</v>
      </c>
      <c r="E60" s="7" t="n">
        <v>0</v>
      </c>
      <c r="F60" s="7" t="n">
        <v>100</v>
      </c>
      <c r="G60" s="7" t="n">
        <v>10</v>
      </c>
      <c r="H60" s="6" t="inlineStr">
        <is>
          <t>bebidas-isotonicas</t>
        </is>
      </c>
      <c r="I60" s="6" t="inlineStr">
        <is>
          <t>SMALL</t>
        </is>
      </c>
      <c r="J60" s="7" t="n">
        <v>530</v>
      </c>
      <c r="K60" s="7" t="n">
        <v>22</v>
      </c>
      <c r="L60" s="7" t="n">
        <v>7</v>
      </c>
      <c r="M60" s="7" t="n">
        <v>7</v>
      </c>
      <c r="N60" s="7" t="n">
        <v>3</v>
      </c>
      <c r="O60" s="7" t="inlineStr">
        <is>
          <t>MOTO,CAR,TRUCK</t>
        </is>
      </c>
    </row>
    <row r="61" ht="45" customHeight="1">
      <c r="A61" s="8" t="inlineStr">
        <is>
          <t>Powerade ION4 Frutas Tropicales 500 ml</t>
        </is>
      </c>
      <c r="B61" s="8" t="inlineStr">
        <is>
          <t>powerade-ion4-frutas-tropicales-500-ml</t>
        </is>
      </c>
      <c r="C61" s="8" t="inlineStr">
        <is>
          <t>Rehidratate con el poder de ION4 y el sabor de las frutas tropicales. Tu aliado para rendir al máximo en cada actividad.</t>
        </is>
      </c>
      <c r="D61" s="9" t="n">
        <v>0</v>
      </c>
      <c r="E61" s="9" t="n">
        <v>0</v>
      </c>
      <c r="F61" s="9" t="n">
        <v>100</v>
      </c>
      <c r="G61" s="9" t="n">
        <v>10</v>
      </c>
      <c r="H61" s="8" t="inlineStr">
        <is>
          <t>bebidas-isotonicas</t>
        </is>
      </c>
      <c r="I61" s="8" t="inlineStr">
        <is>
          <t>SMALL</t>
        </is>
      </c>
      <c r="J61" s="9" t="n">
        <v>530</v>
      </c>
      <c r="K61" s="9" t="n">
        <v>22</v>
      </c>
      <c r="L61" s="9" t="n">
        <v>7</v>
      </c>
      <c r="M61" s="9" t="n">
        <v>7</v>
      </c>
      <c r="N61" s="9" t="n">
        <v>3</v>
      </c>
      <c r="O61" s="9" t="inlineStr">
        <is>
          <t>MOTO,CAR,TRUCK</t>
        </is>
      </c>
    </row>
    <row r="62" ht="45" customHeight="1">
      <c r="A62" s="6" t="inlineStr">
        <is>
          <t>Powerade ION4 Manzana 500 ml</t>
        </is>
      </c>
      <c r="B62" s="6" t="inlineStr">
        <is>
          <t>powerade-ion4-manzana-500-ml</t>
        </is>
      </c>
      <c r="C62" s="6" t="inlineStr">
        <is>
          <t>Sabor manzana con la fórmula ION4 que repone electrolitos. Hidratación efectiva con un gusto suave y natural.</t>
        </is>
      </c>
      <c r="D62" s="7" t="n">
        <v>0</v>
      </c>
      <c r="E62" s="7" t="n">
        <v>0</v>
      </c>
      <c r="F62" s="7" t="n">
        <v>100</v>
      </c>
      <c r="G62" s="7" t="n">
        <v>10</v>
      </c>
      <c r="H62" s="6" t="inlineStr">
        <is>
          <t>bebidas-isotonicas</t>
        </is>
      </c>
      <c r="I62" s="6" t="inlineStr">
        <is>
          <t>SMALL</t>
        </is>
      </c>
      <c r="J62" s="7" t="n">
        <v>530</v>
      </c>
      <c r="K62" s="7" t="n">
        <v>22</v>
      </c>
      <c r="L62" s="7" t="n">
        <v>7</v>
      </c>
      <c r="M62" s="7" t="n">
        <v>7</v>
      </c>
      <c r="N62" s="7" t="n">
        <v>3</v>
      </c>
      <c r="O62" s="7" t="inlineStr">
        <is>
          <t>MOTO,CAR,TRUCK</t>
        </is>
      </c>
    </row>
    <row r="63" ht="45" customHeight="1">
      <c r="A63" s="8" t="inlineStr">
        <is>
          <t>Powerade ION4 Naranja 500 ml</t>
        </is>
      </c>
      <c r="B63" s="8" t="inlineStr">
        <is>
          <t>powerade-ion4-naranja-500-ml</t>
        </is>
      </c>
      <c r="C63" s="8" t="inlineStr">
        <is>
          <t>El clásico sabor naranja con tecnología ION4. Reponés sodio, potasio, calcio y magnesio mientras te refrescás.</t>
        </is>
      </c>
      <c r="D63" s="9" t="n">
        <v>0</v>
      </c>
      <c r="E63" s="9" t="n">
        <v>0</v>
      </c>
      <c r="F63" s="9" t="n">
        <v>100</v>
      </c>
      <c r="G63" s="9" t="n">
        <v>10</v>
      </c>
      <c r="H63" s="8" t="inlineStr">
        <is>
          <t>bebidas-isotonicas</t>
        </is>
      </c>
      <c r="I63" s="8" t="inlineStr">
        <is>
          <t>SMALL</t>
        </is>
      </c>
      <c r="J63" s="9" t="n">
        <v>530</v>
      </c>
      <c r="K63" s="9" t="n">
        <v>22</v>
      </c>
      <c r="L63" s="9" t="n">
        <v>7</v>
      </c>
      <c r="M63" s="9" t="n">
        <v>7</v>
      </c>
      <c r="N63" s="9" t="n">
        <v>3</v>
      </c>
      <c r="O63" s="9" t="inlineStr">
        <is>
          <t>MOTO,CAR,TRUCK</t>
        </is>
      </c>
    </row>
    <row r="64" ht="45" customHeight="1">
      <c r="A64" s="6" t="inlineStr">
        <is>
          <t>Powerade ION4 Naranja Light 500 ml</t>
        </is>
      </c>
      <c r="B64" s="6" t="inlineStr">
        <is>
          <t>powerade-ion4-naranja-light-500-ml</t>
        </is>
      </c>
      <c r="C64" s="6" t="inlineStr">
        <is>
          <t>Toda la hidratación de Powerade Naranja con menos calorías. Para quienes entrenan duro y se cuidan.</t>
        </is>
      </c>
      <c r="D64" s="7" t="n">
        <v>0</v>
      </c>
      <c r="E64" s="7" t="n">
        <v>0</v>
      </c>
      <c r="F64" s="7" t="n">
        <v>100</v>
      </c>
      <c r="G64" s="7" t="n">
        <v>10</v>
      </c>
      <c r="H64" s="6" t="inlineStr">
        <is>
          <t>bebidas-isotonicas</t>
        </is>
      </c>
      <c r="I64" s="6" t="inlineStr">
        <is>
          <t>SMALL</t>
        </is>
      </c>
      <c r="J64" s="7" t="n">
        <v>530</v>
      </c>
      <c r="K64" s="7" t="n">
        <v>22</v>
      </c>
      <c r="L64" s="7" t="n">
        <v>7</v>
      </c>
      <c r="M64" s="7" t="n">
        <v>7</v>
      </c>
      <c r="N64" s="7" t="n">
        <v>3</v>
      </c>
      <c r="O64" s="7" t="inlineStr">
        <is>
          <t>MOTO,CAR,TRUCK</t>
        </is>
      </c>
    </row>
    <row r="65" ht="45" customHeight="1">
      <c r="A65" s="8" t="inlineStr">
        <is>
          <t>Powerade Sour Manzana Verde 500 ml</t>
        </is>
      </c>
      <c r="B65" s="8" t="inlineStr">
        <is>
          <t>powerade-sour-manzana-verde-500-ml</t>
        </is>
      </c>
      <c r="C65" s="8" t="inlineStr">
        <is>
          <t>La nueva explosión de sabor que desafía tus sentidos. Manzana verde ácida para una experiencia intensa y diferente.</t>
        </is>
      </c>
      <c r="D65" s="9" t="n">
        <v>0</v>
      </c>
      <c r="E65" s="9" t="n">
        <v>0</v>
      </c>
      <c r="F65" s="9" t="n">
        <v>100</v>
      </c>
      <c r="G65" s="9" t="n">
        <v>10</v>
      </c>
      <c r="H65" s="8" t="inlineStr">
        <is>
          <t>bebidas-isotonicas</t>
        </is>
      </c>
      <c r="I65" s="8" t="inlineStr">
        <is>
          <t>SMALL</t>
        </is>
      </c>
      <c r="J65" s="9" t="n">
        <v>530</v>
      </c>
      <c r="K65" s="9" t="n">
        <v>22</v>
      </c>
      <c r="L65" s="9" t="n">
        <v>7</v>
      </c>
      <c r="M65" s="9" t="n">
        <v>7</v>
      </c>
      <c r="N65" s="9" t="n">
        <v>3</v>
      </c>
      <c r="O65" s="9" t="inlineStr">
        <is>
          <t>MOTO,CAR,TRUCK</t>
        </is>
      </c>
    </row>
    <row r="66" ht="45" customHeight="1">
      <c r="A66" s="6" t="inlineStr">
        <is>
          <t>Powerade ION4 Mountain Blast 1 L</t>
        </is>
      </c>
      <c r="B66" s="6" t="inlineStr">
        <is>
          <t>powerade-ion4-mountain-blast-1-l</t>
        </is>
      </c>
      <c r="C66" s="6" t="inlineStr">
        <is>
          <t>Doble hidratación con ION4. Formato grande para entrenamientos intensos y días de mucha actividad física.</t>
        </is>
      </c>
      <c r="D66" s="7" t="n">
        <v>0</v>
      </c>
      <c r="E66" s="7" t="n">
        <v>0</v>
      </c>
      <c r="F66" s="7" t="n">
        <v>100</v>
      </c>
      <c r="G66" s="7" t="n">
        <v>10</v>
      </c>
      <c r="H66" s="6" t="inlineStr">
        <is>
          <t>bebidas-isotonicas</t>
        </is>
      </c>
      <c r="I66" s="6" t="inlineStr">
        <is>
          <t>MEDIUM</t>
        </is>
      </c>
      <c r="J66" s="7" t="n">
        <v>1080</v>
      </c>
      <c r="K66" s="7" t="n">
        <v>28</v>
      </c>
      <c r="L66" s="7" t="n">
        <v>8</v>
      </c>
      <c r="M66" s="7" t="n">
        <v>8</v>
      </c>
      <c r="N66" s="7" t="n">
        <v>6</v>
      </c>
      <c r="O66" s="7" t="inlineStr">
        <is>
          <t>CAR,TRUCK</t>
        </is>
      </c>
    </row>
    <row r="67" ht="20" customHeight="1">
      <c r="A67" s="4" t="inlineStr">
        <is>
          <t>AGUAS MINERALES · BONAQUA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 ht="45" customHeight="1">
      <c r="A68" s="6" t="inlineStr">
        <is>
          <t>Bonaqua Sin Gas 500 ml</t>
        </is>
      </c>
      <c r="B68" s="6" t="inlineStr">
        <is>
          <t>bonaqua-sin-gas-500-ml</t>
        </is>
      </c>
      <c r="C68" s="6" t="inlineStr">
        <is>
          <t>Agua mineral natural de manantial. Pureza y frescura en cada sorbo, ideal para hidratarte durante todo el día.</t>
        </is>
      </c>
      <c r="D68" s="7" t="n">
        <v>0</v>
      </c>
      <c r="E68" s="7" t="n">
        <v>0</v>
      </c>
      <c r="F68" s="7" t="n">
        <v>100</v>
      </c>
      <c r="G68" s="7" t="n">
        <v>10</v>
      </c>
      <c r="H68" s="6" t="inlineStr">
        <is>
          <t>aguas-minerales</t>
        </is>
      </c>
      <c r="I68" s="6" t="inlineStr">
        <is>
          <t>SMALL</t>
        </is>
      </c>
      <c r="J68" s="7" t="n">
        <v>515</v>
      </c>
      <c r="K68" s="7" t="n">
        <v>22</v>
      </c>
      <c r="L68" s="7" t="n">
        <v>7</v>
      </c>
      <c r="M68" s="7" t="n">
        <v>7</v>
      </c>
      <c r="N68" s="7" t="n">
        <v>3</v>
      </c>
      <c r="O68" s="7" t="inlineStr">
        <is>
          <t>MOTO,CAR,TRUCK</t>
        </is>
      </c>
    </row>
    <row r="69" ht="45" customHeight="1">
      <c r="A69" s="8" t="inlineStr">
        <is>
          <t>Bonaqua Sin Gas 600 ml</t>
        </is>
      </c>
      <c r="B69" s="8" t="inlineStr">
        <is>
          <t>bonaqua-sin-gas-600-ml</t>
        </is>
      </c>
      <c r="C69" s="8" t="inlineStr">
        <is>
          <t>Agua mineral natural en formato personal ampliado. Más hidratación para tus actividades diarias.</t>
        </is>
      </c>
      <c r="D69" s="9" t="n">
        <v>0</v>
      </c>
      <c r="E69" s="9" t="n">
        <v>0</v>
      </c>
      <c r="F69" s="9" t="n">
        <v>100</v>
      </c>
      <c r="G69" s="9" t="n">
        <v>10</v>
      </c>
      <c r="H69" s="8" t="inlineStr">
        <is>
          <t>aguas-minerales</t>
        </is>
      </c>
      <c r="I69" s="8" t="inlineStr">
        <is>
          <t>SMALL</t>
        </is>
      </c>
      <c r="J69" s="9" t="n">
        <v>620</v>
      </c>
      <c r="K69" s="9" t="n">
        <v>24</v>
      </c>
      <c r="L69" s="9" t="n">
        <v>7</v>
      </c>
      <c r="M69" s="9" t="n">
        <v>7</v>
      </c>
      <c r="N69" s="9" t="n">
        <v>3</v>
      </c>
      <c r="O69" s="9" t="inlineStr">
        <is>
          <t>MOTO,CAR,TRUCK</t>
        </is>
      </c>
    </row>
    <row r="70" ht="45" customHeight="1">
      <c r="A70" s="6" t="inlineStr">
        <is>
          <t>Bonaqua Sin Gas 1.5 L</t>
        </is>
      </c>
      <c r="B70" s="6" t="inlineStr">
        <is>
          <t>bonaqua-sin-gas-1-5-l</t>
        </is>
      </c>
      <c r="C70" s="6" t="inlineStr">
        <is>
          <t>Bonaqua Sin Gas en formato familiar. Agua mineral pura para hidratarte y compartir en la mesa de cada día.</t>
        </is>
      </c>
      <c r="D70" s="7" t="n">
        <v>0</v>
      </c>
      <c r="E70" s="7" t="n">
        <v>0</v>
      </c>
      <c r="F70" s="7" t="n">
        <v>100</v>
      </c>
      <c r="G70" s="7" t="n">
        <v>10</v>
      </c>
      <c r="H70" s="6" t="inlineStr">
        <is>
          <t>aguas-minerales</t>
        </is>
      </c>
      <c r="I70" s="6" t="inlineStr">
        <is>
          <t>MEDIUM</t>
        </is>
      </c>
      <c r="J70" s="7" t="n">
        <v>1540</v>
      </c>
      <c r="K70" s="7" t="n">
        <v>32</v>
      </c>
      <c r="L70" s="7" t="n">
        <v>9</v>
      </c>
      <c r="M70" s="7" t="n">
        <v>9</v>
      </c>
      <c r="N70" s="7" t="n">
        <v>6</v>
      </c>
      <c r="O70" s="7" t="inlineStr">
        <is>
          <t>CAR,TRUCK</t>
        </is>
      </c>
    </row>
    <row r="71" ht="45" customHeight="1">
      <c r="A71" s="8" t="inlineStr">
        <is>
          <t>Bonaqua Sin Gas 2 L</t>
        </is>
      </c>
      <c r="B71" s="8" t="inlineStr">
        <is>
          <t>bonaqua-sin-gas-2-l</t>
        </is>
      </c>
      <c r="C71" s="8" t="inlineStr">
        <is>
          <t>Agua mineral natural en formato grande. La hidratación pura y confiable que tu familia necesita todos los días.</t>
        </is>
      </c>
      <c r="D71" s="9" t="n">
        <v>0</v>
      </c>
      <c r="E71" s="9" t="n">
        <v>0</v>
      </c>
      <c r="F71" s="9" t="n">
        <v>100</v>
      </c>
      <c r="G71" s="9" t="n">
        <v>10</v>
      </c>
      <c r="H71" s="8" t="inlineStr">
        <is>
          <t>aguas-minerales</t>
        </is>
      </c>
      <c r="I71" s="8" t="inlineStr">
        <is>
          <t>MEDIUM</t>
        </is>
      </c>
      <c r="J71" s="9" t="n">
        <v>2050</v>
      </c>
      <c r="K71" s="9" t="n">
        <v>34</v>
      </c>
      <c r="L71" s="9" t="n">
        <v>10</v>
      </c>
      <c r="M71" s="9" t="n">
        <v>10</v>
      </c>
      <c r="N71" s="9" t="n">
        <v>6</v>
      </c>
      <c r="O71" s="9" t="inlineStr">
        <is>
          <t>CAR,TRUCK</t>
        </is>
      </c>
    </row>
    <row r="72" ht="45" customHeight="1">
      <c r="A72" s="6" t="inlineStr">
        <is>
          <t>Bonaqua Con Gas 500 ml</t>
        </is>
      </c>
      <c r="B72" s="6" t="inlineStr">
        <is>
          <t>bonaqua-con-gas-500-ml</t>
        </is>
      </c>
      <c r="C72" s="6" t="inlineStr">
        <is>
          <t>Agua mineral con gas de manantial. Burbujas refrescantes con la pureza de la naturaleza, perfecta con las comidas.</t>
        </is>
      </c>
      <c r="D72" s="7" t="n">
        <v>0</v>
      </c>
      <c r="E72" s="7" t="n">
        <v>0</v>
      </c>
      <c r="F72" s="7" t="n">
        <v>100</v>
      </c>
      <c r="G72" s="7" t="n">
        <v>10</v>
      </c>
      <c r="H72" s="6" t="inlineStr">
        <is>
          <t>aguas-minerales</t>
        </is>
      </c>
      <c r="I72" s="6" t="inlineStr">
        <is>
          <t>SMALL</t>
        </is>
      </c>
      <c r="J72" s="7" t="n">
        <v>520</v>
      </c>
      <c r="K72" s="7" t="n">
        <v>22</v>
      </c>
      <c r="L72" s="7" t="n">
        <v>7</v>
      </c>
      <c r="M72" s="7" t="n">
        <v>7</v>
      </c>
      <c r="N72" s="7" t="n">
        <v>3</v>
      </c>
      <c r="O72" s="7" t="inlineStr">
        <is>
          <t>MOTO,CAR,TRUCK</t>
        </is>
      </c>
    </row>
    <row r="73" ht="45" customHeight="1">
      <c r="A73" s="8" t="inlineStr">
        <is>
          <t>Bonaqua Con Gas 1.5 L</t>
        </is>
      </c>
      <c r="B73" s="8" t="inlineStr">
        <is>
          <t>bonaqua-con-gas-1-5-l</t>
        </is>
      </c>
      <c r="C73" s="8" t="inlineStr">
        <is>
          <t>Bonaqua Con Gas para la mesa. Agua mineral con burbujas finas, ideal para acompañar tus comidas.</t>
        </is>
      </c>
      <c r="D73" s="9" t="n">
        <v>0</v>
      </c>
      <c r="E73" s="9" t="n">
        <v>0</v>
      </c>
      <c r="F73" s="9" t="n">
        <v>100</v>
      </c>
      <c r="G73" s="9" t="n">
        <v>10</v>
      </c>
      <c r="H73" s="8" t="inlineStr">
        <is>
          <t>aguas-minerales</t>
        </is>
      </c>
      <c r="I73" s="8" t="inlineStr">
        <is>
          <t>MEDIUM</t>
        </is>
      </c>
      <c r="J73" s="9" t="n">
        <v>1545</v>
      </c>
      <c r="K73" s="9" t="n">
        <v>32</v>
      </c>
      <c r="L73" s="9" t="n">
        <v>9</v>
      </c>
      <c r="M73" s="9" t="n">
        <v>9</v>
      </c>
      <c r="N73" s="9" t="n">
        <v>6</v>
      </c>
      <c r="O73" s="9" t="inlineStr">
        <is>
          <t>CAR,TRUCK</t>
        </is>
      </c>
    </row>
    <row r="74" ht="20" customHeight="1">
      <c r="A74" s="4" t="inlineStr">
        <is>
          <t>JUGOS · CEPITA DEL VALLE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 ht="45" customHeight="1">
      <c r="A75" s="6" t="inlineStr">
        <is>
          <t>Cepita Del Valle Naranja 1 L</t>
        </is>
      </c>
      <c r="B75" s="6" t="inlineStr">
        <is>
          <t>cepita-del-valle-naranja-1-l</t>
        </is>
      </c>
      <c r="C75" s="6" t="inlineStr">
        <is>
          <t>Jugo de naranja con pulpa natural y el sabor auténtico de la fruta. Fortificado con vitaminas C y E. Ideal para el desayuno y la merienda.</t>
        </is>
      </c>
      <c r="D75" s="7" t="n">
        <v>0</v>
      </c>
      <c r="E75" s="7" t="n">
        <v>0</v>
      </c>
      <c r="F75" s="7" t="n">
        <v>100</v>
      </c>
      <c r="G75" s="7" t="n">
        <v>10</v>
      </c>
      <c r="H75" s="6" t="inlineStr">
        <is>
          <t>jugos</t>
        </is>
      </c>
      <c r="I75" s="6" t="inlineStr">
        <is>
          <t>SMALL</t>
        </is>
      </c>
      <c r="J75" s="7" t="n">
        <v>1060</v>
      </c>
      <c r="K75" s="7" t="n">
        <v>20</v>
      </c>
      <c r="L75" s="7" t="n">
        <v>7</v>
      </c>
      <c r="M75" s="7" t="n">
        <v>7</v>
      </c>
      <c r="N75" s="7" t="n">
        <v>3</v>
      </c>
      <c r="O75" s="7" t="inlineStr">
        <is>
          <t>MOTO,CAR,TRUCK</t>
        </is>
      </c>
    </row>
    <row r="76" ht="45" customHeight="1">
      <c r="A76" s="8" t="inlineStr">
        <is>
          <t>Cepita Del Valle Naranja 200 ml</t>
        </is>
      </c>
      <c r="B76" s="8" t="inlineStr">
        <is>
          <t>cepita-del-valle-naranja-200-ml</t>
        </is>
      </c>
      <c r="C76" s="8" t="inlineStr">
        <is>
          <t>El jugo de naranja favorito de los chicos en envase práctico con sorbete. Ideal para la lonchera, la merienda y el recreo.</t>
        </is>
      </c>
      <c r="D76" s="9" t="n">
        <v>0</v>
      </c>
      <c r="E76" s="9" t="n">
        <v>0</v>
      </c>
      <c r="F76" s="9" t="n">
        <v>100</v>
      </c>
      <c r="G76" s="9" t="n">
        <v>10</v>
      </c>
      <c r="H76" s="8" t="inlineStr">
        <is>
          <t>jugos</t>
        </is>
      </c>
      <c r="I76" s="8" t="inlineStr">
        <is>
          <t>MICRO</t>
        </is>
      </c>
      <c r="J76" s="9" t="n">
        <v>215</v>
      </c>
      <c r="K76" s="9" t="n">
        <v>10</v>
      </c>
      <c r="L76" s="9" t="n">
        <v>6</v>
      </c>
      <c r="M76" s="9" t="n">
        <v>4</v>
      </c>
      <c r="N76" s="9" t="n">
        <v>1</v>
      </c>
      <c r="O76" s="9" t="inlineStr">
        <is>
          <t>BIKE,MOTO,CAR,TRUCK</t>
        </is>
      </c>
    </row>
    <row r="77" ht="45" customHeight="1">
      <c r="A77" s="6" t="inlineStr">
        <is>
          <t>Cepita Del Valle Manzana 1 L</t>
        </is>
      </c>
      <c r="B77" s="6" t="inlineStr">
        <is>
          <t>cepita-del-valle-manzana-1-l</t>
        </is>
      </c>
      <c r="C77" s="6" t="inlineStr">
        <is>
          <t>Jugo de manzana con el sabor puro y natural de la fruta. Fuente de vitaminas, perfecto para disfrutar en familia.</t>
        </is>
      </c>
      <c r="D77" s="7" t="n">
        <v>0</v>
      </c>
      <c r="E77" s="7" t="n">
        <v>0</v>
      </c>
      <c r="F77" s="7" t="n">
        <v>100</v>
      </c>
      <c r="G77" s="7" t="n">
        <v>10</v>
      </c>
      <c r="H77" s="6" t="inlineStr">
        <is>
          <t>jugos</t>
        </is>
      </c>
      <c r="I77" s="6" t="inlineStr">
        <is>
          <t>SMALL</t>
        </is>
      </c>
      <c r="J77" s="7" t="n">
        <v>1060</v>
      </c>
      <c r="K77" s="7" t="n">
        <v>20</v>
      </c>
      <c r="L77" s="7" t="n">
        <v>7</v>
      </c>
      <c r="M77" s="7" t="n">
        <v>7</v>
      </c>
      <c r="N77" s="7" t="n">
        <v>3</v>
      </c>
      <c r="O77" s="7" t="inlineStr">
        <is>
          <t>MOTO,CAR,TRUCK</t>
        </is>
      </c>
    </row>
    <row r="78" ht="45" customHeight="1">
      <c r="A78" s="8" t="inlineStr">
        <is>
          <t>Cepita Del Valle Manzana 200 ml</t>
        </is>
      </c>
      <c r="B78" s="8" t="inlineStr">
        <is>
          <t>cepita-del-valle-manzana-200-ml</t>
        </is>
      </c>
      <c r="C78" s="8" t="inlineStr">
        <is>
          <t>Jugo de manzana en envase individual con sorbete. Práctico, nutritivo y con el sabor que los chicos adoran.</t>
        </is>
      </c>
      <c r="D78" s="9" t="n">
        <v>0</v>
      </c>
      <c r="E78" s="9" t="n">
        <v>0</v>
      </c>
      <c r="F78" s="9" t="n">
        <v>100</v>
      </c>
      <c r="G78" s="9" t="n">
        <v>10</v>
      </c>
      <c r="H78" s="8" t="inlineStr">
        <is>
          <t>jugos</t>
        </is>
      </c>
      <c r="I78" s="8" t="inlineStr">
        <is>
          <t>MICRO</t>
        </is>
      </c>
      <c r="J78" s="9" t="n">
        <v>215</v>
      </c>
      <c r="K78" s="9" t="n">
        <v>10</v>
      </c>
      <c r="L78" s="9" t="n">
        <v>6</v>
      </c>
      <c r="M78" s="9" t="n">
        <v>4</v>
      </c>
      <c r="N78" s="9" t="n">
        <v>1</v>
      </c>
      <c r="O78" s="9" t="inlineStr">
        <is>
          <t>BIKE,MOTO,CAR,TRUCK</t>
        </is>
      </c>
    </row>
    <row r="79" ht="45" customHeight="1">
      <c r="A79" s="6" t="inlineStr">
        <is>
          <t>Cepita Del Valle Durazno 1 L</t>
        </is>
      </c>
      <c r="B79" s="6" t="inlineStr">
        <is>
          <t>cepita-del-valle-durazno-1-l</t>
        </is>
      </c>
      <c r="C79" s="6" t="inlineStr">
        <is>
          <t>Jugo de durazno con toda la suavidad y dulzura de la fruta madura. Fortificado con vitaminas para tu bienestar.</t>
        </is>
      </c>
      <c r="D79" s="7" t="n">
        <v>0</v>
      </c>
      <c r="E79" s="7" t="n">
        <v>0</v>
      </c>
      <c r="F79" s="7" t="n">
        <v>100</v>
      </c>
      <c r="G79" s="7" t="n">
        <v>10</v>
      </c>
      <c r="H79" s="6" t="inlineStr">
        <is>
          <t>jugos</t>
        </is>
      </c>
      <c r="I79" s="6" t="inlineStr">
        <is>
          <t>SMALL</t>
        </is>
      </c>
      <c r="J79" s="7" t="n">
        <v>1060</v>
      </c>
      <c r="K79" s="7" t="n">
        <v>20</v>
      </c>
      <c r="L79" s="7" t="n">
        <v>7</v>
      </c>
      <c r="M79" s="7" t="n">
        <v>7</v>
      </c>
      <c r="N79" s="7" t="n">
        <v>3</v>
      </c>
      <c r="O79" s="7" t="inlineStr">
        <is>
          <t>MOTO,CAR,TRUCK</t>
        </is>
      </c>
    </row>
    <row r="80" ht="45" customHeight="1">
      <c r="A80" s="8" t="inlineStr">
        <is>
          <t>Cepita Del Valle Durazno 200 ml</t>
        </is>
      </c>
      <c r="B80" s="8" t="inlineStr">
        <is>
          <t>cepita-del-valle-durazno-200-ml</t>
        </is>
      </c>
      <c r="C80" s="8" t="inlineStr">
        <is>
          <t>Jugo de durazno en envase individual con sorbete. El sabor dulce y suave que encanta a grandes y chicos.</t>
        </is>
      </c>
      <c r="D80" s="9" t="n">
        <v>0</v>
      </c>
      <c r="E80" s="9" t="n">
        <v>0</v>
      </c>
      <c r="F80" s="9" t="n">
        <v>100</v>
      </c>
      <c r="G80" s="9" t="n">
        <v>10</v>
      </c>
      <c r="H80" s="8" t="inlineStr">
        <is>
          <t>jugos</t>
        </is>
      </c>
      <c r="I80" s="8" t="inlineStr">
        <is>
          <t>MICRO</t>
        </is>
      </c>
      <c r="J80" s="9" t="n">
        <v>215</v>
      </c>
      <c r="K80" s="9" t="n">
        <v>10</v>
      </c>
      <c r="L80" s="9" t="n">
        <v>6</v>
      </c>
      <c r="M80" s="9" t="n">
        <v>4</v>
      </c>
      <c r="N80" s="9" t="n">
        <v>1</v>
      </c>
      <c r="O80" s="9" t="inlineStr">
        <is>
          <t>BIKE,MOTO,CAR,TRUCK</t>
        </is>
      </c>
    </row>
    <row r="81" ht="45" customHeight="1">
      <c r="A81" s="6" t="inlineStr">
        <is>
          <t>Cepita Del Valle Multifruta 1 L</t>
        </is>
      </c>
      <c r="B81" s="6" t="inlineStr">
        <is>
          <t>cepita-del-valle-multifruta-1-l</t>
        </is>
      </c>
      <c r="C81" s="6" t="inlineStr">
        <is>
          <t>La mezcla perfecta de frutas en un solo jugo. Sabor multifruta con vitaminas para energizarte naturalmente cada mañana.</t>
        </is>
      </c>
      <c r="D81" s="7" t="n">
        <v>0</v>
      </c>
      <c r="E81" s="7" t="n">
        <v>0</v>
      </c>
      <c r="F81" s="7" t="n">
        <v>100</v>
      </c>
      <c r="G81" s="7" t="n">
        <v>10</v>
      </c>
      <c r="H81" s="6" t="inlineStr">
        <is>
          <t>jugos</t>
        </is>
      </c>
      <c r="I81" s="6" t="inlineStr">
        <is>
          <t>SMALL</t>
        </is>
      </c>
      <c r="J81" s="7" t="n">
        <v>1060</v>
      </c>
      <c r="K81" s="7" t="n">
        <v>20</v>
      </c>
      <c r="L81" s="7" t="n">
        <v>7</v>
      </c>
      <c r="M81" s="7" t="n">
        <v>7</v>
      </c>
      <c r="N81" s="7" t="n">
        <v>3</v>
      </c>
      <c r="O81" s="7" t="inlineStr">
        <is>
          <t>MOTO,CAR,TRUCK</t>
        </is>
      </c>
    </row>
    <row r="82" ht="45" customHeight="1">
      <c r="A82" s="8" t="inlineStr">
        <is>
          <t>Cepita Del Valle Multifruta 200 ml</t>
        </is>
      </c>
      <c r="B82" s="8" t="inlineStr">
        <is>
          <t>cepita-del-valle-multifruta-200-ml</t>
        </is>
      </c>
      <c r="C82" s="8" t="inlineStr">
        <is>
          <t>Jugo multifruta en envase individual con sorbete. Variedad de frutas y vitaminas en cada sorbo, perfecto para el cole.</t>
        </is>
      </c>
      <c r="D82" s="9" t="n">
        <v>0</v>
      </c>
      <c r="E82" s="9" t="n">
        <v>0</v>
      </c>
      <c r="F82" s="9" t="n">
        <v>100</v>
      </c>
      <c r="G82" s="9" t="n">
        <v>10</v>
      </c>
      <c r="H82" s="8" t="inlineStr">
        <is>
          <t>jugos</t>
        </is>
      </c>
      <c r="I82" s="8" t="inlineStr">
        <is>
          <t>MICRO</t>
        </is>
      </c>
      <c r="J82" s="9" t="n">
        <v>215</v>
      </c>
      <c r="K82" s="9" t="n">
        <v>10</v>
      </c>
      <c r="L82" s="9" t="n">
        <v>6</v>
      </c>
      <c r="M82" s="9" t="n">
        <v>4</v>
      </c>
      <c r="N82" s="9" t="n">
        <v>1</v>
      </c>
      <c r="O82" s="9" t="inlineStr">
        <is>
          <t>BIKE,MOTO,CAR,TRUCK</t>
        </is>
      </c>
    </row>
    <row r="83" ht="20" customHeight="1">
      <c r="A83" s="4" t="inlineStr">
        <is>
          <t>JUGOS · CEPITA FRESH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 ht="45" customHeight="1">
      <c r="A84" s="6" t="inlineStr">
        <is>
          <t>Cepita Fresh Naranja 500 ml</t>
        </is>
      </c>
      <c r="B84" s="6" t="inlineStr">
        <is>
          <t>cepita-fresh-naranja-500-ml</t>
        </is>
      </c>
      <c r="C84" s="6" t="inlineStr">
        <is>
          <t>Jugo listo de naranja sin azúcares agregados, con vitaminas B3 y B6. Refrescante, liviano y natural para tu día.</t>
        </is>
      </c>
      <c r="D84" s="7" t="n">
        <v>0</v>
      </c>
      <c r="E84" s="7" t="n">
        <v>0</v>
      </c>
      <c r="F84" s="7" t="n">
        <v>100</v>
      </c>
      <c r="G84" s="7" t="n">
        <v>10</v>
      </c>
      <c r="H84" s="6" t="inlineStr">
        <is>
          <t>jugos</t>
        </is>
      </c>
      <c r="I84" s="6" t="inlineStr">
        <is>
          <t>SMALL</t>
        </is>
      </c>
      <c r="J84" s="7" t="n">
        <v>530</v>
      </c>
      <c r="K84" s="7" t="n">
        <v>22</v>
      </c>
      <c r="L84" s="7" t="n">
        <v>7</v>
      </c>
      <c r="M84" s="7" t="n">
        <v>7</v>
      </c>
      <c r="N84" s="7" t="n">
        <v>3</v>
      </c>
      <c r="O84" s="7" t="inlineStr">
        <is>
          <t>MOTO,CAR,TRUCK</t>
        </is>
      </c>
    </row>
    <row r="85" ht="45" customHeight="1">
      <c r="A85" s="8" t="inlineStr">
        <is>
          <t>Cepita Fresh Naranja 1.5 L</t>
        </is>
      </c>
      <c r="B85" s="8" t="inlineStr">
        <is>
          <t>cepita-fresh-naranja-1-5-l</t>
        </is>
      </c>
      <c r="C85" s="8" t="inlineStr">
        <is>
          <t>Cepita Fresh Naranja para toda la familia. Jugo sin azúcar con vitaminas, el refresco natural para compartir en la mesa.</t>
        </is>
      </c>
      <c r="D85" s="9" t="n">
        <v>0</v>
      </c>
      <c r="E85" s="9" t="n">
        <v>0</v>
      </c>
      <c r="F85" s="9" t="n">
        <v>100</v>
      </c>
      <c r="G85" s="9" t="n">
        <v>10</v>
      </c>
      <c r="H85" s="8" t="inlineStr">
        <is>
          <t>jugos</t>
        </is>
      </c>
      <c r="I85" s="8" t="inlineStr">
        <is>
          <t>MEDIUM</t>
        </is>
      </c>
      <c r="J85" s="9" t="n">
        <v>1570</v>
      </c>
      <c r="K85" s="9" t="n">
        <v>32</v>
      </c>
      <c r="L85" s="9" t="n">
        <v>9</v>
      </c>
      <c r="M85" s="9" t="n">
        <v>9</v>
      </c>
      <c r="N85" s="9" t="n">
        <v>6</v>
      </c>
      <c r="O85" s="9" t="inlineStr">
        <is>
          <t>CAR,TRUCK</t>
        </is>
      </c>
    </row>
    <row r="86" ht="45" customHeight="1">
      <c r="A86" s="6" t="inlineStr">
        <is>
          <t>Cepita Fresh Pomelo 500 ml</t>
        </is>
      </c>
      <c r="B86" s="6" t="inlineStr">
        <is>
          <t>cepita-fresh-pomelo-500-ml</t>
        </is>
      </c>
      <c r="C86" s="6" t="inlineStr">
        <is>
          <t>Jugo de pomelo sin azúcares agregados. Sabor cítrico auténtico con vitaminas, liviano y refrescante para cualquier momento.</t>
        </is>
      </c>
      <c r="D86" s="7" t="n">
        <v>0</v>
      </c>
      <c r="E86" s="7" t="n">
        <v>0</v>
      </c>
      <c r="F86" s="7" t="n">
        <v>100</v>
      </c>
      <c r="G86" s="7" t="n">
        <v>10</v>
      </c>
      <c r="H86" s="6" t="inlineStr">
        <is>
          <t>jugos</t>
        </is>
      </c>
      <c r="I86" s="6" t="inlineStr">
        <is>
          <t>SMALL</t>
        </is>
      </c>
      <c r="J86" s="7" t="n">
        <v>530</v>
      </c>
      <c r="K86" s="7" t="n">
        <v>22</v>
      </c>
      <c r="L86" s="7" t="n">
        <v>7</v>
      </c>
      <c r="M86" s="7" t="n">
        <v>7</v>
      </c>
      <c r="N86" s="7" t="n">
        <v>3</v>
      </c>
      <c r="O86" s="7" t="inlineStr">
        <is>
          <t>MOTO,CAR,TRUCK</t>
        </is>
      </c>
    </row>
    <row r="87" ht="45" customHeight="1">
      <c r="A87" s="8" t="inlineStr">
        <is>
          <t>Cepita Fresh Pomelo 1.5 L</t>
        </is>
      </c>
      <c r="B87" s="8" t="inlineStr">
        <is>
          <t>cepita-fresh-pomelo-1-5-l</t>
        </is>
      </c>
      <c r="C87" s="8" t="inlineStr">
        <is>
          <t>Cepita Fresh Pomelo para la mesa. Jugo sin azúcar con el toque cítrico justo y vitaminas para toda la familia.</t>
        </is>
      </c>
      <c r="D87" s="9" t="n">
        <v>0</v>
      </c>
      <c r="E87" s="9" t="n">
        <v>0</v>
      </c>
      <c r="F87" s="9" t="n">
        <v>100</v>
      </c>
      <c r="G87" s="9" t="n">
        <v>10</v>
      </c>
      <c r="H87" s="8" t="inlineStr">
        <is>
          <t>jugos</t>
        </is>
      </c>
      <c r="I87" s="8" t="inlineStr">
        <is>
          <t>MEDIUM</t>
        </is>
      </c>
      <c r="J87" s="9" t="n">
        <v>1570</v>
      </c>
      <c r="K87" s="9" t="n">
        <v>32</v>
      </c>
      <c r="L87" s="9" t="n">
        <v>9</v>
      </c>
      <c r="M87" s="9" t="n">
        <v>9</v>
      </c>
      <c r="N87" s="9" t="n">
        <v>6</v>
      </c>
      <c r="O87" s="9" t="inlineStr">
        <is>
          <t>CAR,TRUCK</t>
        </is>
      </c>
    </row>
    <row r="88" ht="20" customHeight="1">
      <c r="A88" s="4" t="inlineStr">
        <is>
          <t>BEBIDAS VEGETALES · ADES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 ht="45" customHeight="1">
      <c r="A89" s="6" t="inlineStr">
        <is>
          <t>AdeS Soja Original 1 L</t>
        </is>
      </c>
      <c r="B89" s="6" t="inlineStr">
        <is>
          <t>ades-soja-original-1-l</t>
        </is>
      </c>
      <c r="C89" s="6" t="inlineStr">
        <is>
          <t>Alimento líquido a base de soja, fuente de proteínas vegetales. Fortificado con vitaminas A, D, E, B6, B12, ácido fólico y calcio. Sin gluten.</t>
        </is>
      </c>
      <c r="D89" s="7" t="n">
        <v>0</v>
      </c>
      <c r="E89" s="7" t="n">
        <v>0</v>
      </c>
      <c r="F89" s="7" t="n">
        <v>100</v>
      </c>
      <c r="G89" s="7" t="n">
        <v>10</v>
      </c>
      <c r="H89" s="6" t="inlineStr">
        <is>
          <t>bebidas-vegetales</t>
        </is>
      </c>
      <c r="I89" s="6" t="inlineStr">
        <is>
          <t>SMALL</t>
        </is>
      </c>
      <c r="J89" s="7" t="n">
        <v>1050</v>
      </c>
      <c r="K89" s="7" t="n">
        <v>20</v>
      </c>
      <c r="L89" s="7" t="n">
        <v>7</v>
      </c>
      <c r="M89" s="7" t="n">
        <v>7</v>
      </c>
      <c r="N89" s="7" t="n">
        <v>3</v>
      </c>
      <c r="O89" s="7" t="inlineStr">
        <is>
          <t>MOTO,CAR,TRUCK</t>
        </is>
      </c>
    </row>
    <row r="90" ht="45" customHeight="1">
      <c r="A90" s="8" t="inlineStr">
        <is>
          <t>AdeS Soja Naranja 1 L</t>
        </is>
      </c>
      <c r="B90" s="8" t="inlineStr">
        <is>
          <t>ades-soja-naranja-1-l</t>
        </is>
      </c>
      <c r="C90" s="8" t="inlineStr">
        <is>
          <t>Bebida de soja con jugo de naranja. Proteínas vegetales y sabor cítrico refrescante, fortificada con vitaminas y zinc. Sin gluten.</t>
        </is>
      </c>
      <c r="D90" s="9" t="n">
        <v>0</v>
      </c>
      <c r="E90" s="9" t="n">
        <v>0</v>
      </c>
      <c r="F90" s="9" t="n">
        <v>100</v>
      </c>
      <c r="G90" s="9" t="n">
        <v>10</v>
      </c>
      <c r="H90" s="8" t="inlineStr">
        <is>
          <t>bebidas-vegetales</t>
        </is>
      </c>
      <c r="I90" s="8" t="inlineStr">
        <is>
          <t>SMALL</t>
        </is>
      </c>
      <c r="J90" s="9" t="n">
        <v>1050</v>
      </c>
      <c r="K90" s="9" t="n">
        <v>20</v>
      </c>
      <c r="L90" s="9" t="n">
        <v>7</v>
      </c>
      <c r="M90" s="9" t="n">
        <v>7</v>
      </c>
      <c r="N90" s="9" t="n">
        <v>3</v>
      </c>
      <c r="O90" s="9" t="inlineStr">
        <is>
          <t>MOTO,CAR,TRUCK</t>
        </is>
      </c>
    </row>
    <row r="91" ht="45" customHeight="1">
      <c r="A91" s="6" t="inlineStr">
        <is>
          <t>AdeS Soja Naranja 200 ml</t>
        </is>
      </c>
      <c r="B91" s="6" t="inlineStr">
        <is>
          <t>ades-soja-naranja-200-ml</t>
        </is>
      </c>
      <c r="C91" s="6" t="inlineStr">
        <is>
          <t>AdeS Naranja en envase individual. Proteínas de soja y jugo de naranja, ideal para el break, la merienda o el recreo.</t>
        </is>
      </c>
      <c r="D91" s="7" t="n">
        <v>0</v>
      </c>
      <c r="E91" s="7" t="n">
        <v>0</v>
      </c>
      <c r="F91" s="7" t="n">
        <v>100</v>
      </c>
      <c r="G91" s="7" t="n">
        <v>10</v>
      </c>
      <c r="H91" s="6" t="inlineStr">
        <is>
          <t>bebidas-vegetales</t>
        </is>
      </c>
      <c r="I91" s="6" t="inlineStr">
        <is>
          <t>MICRO</t>
        </is>
      </c>
      <c r="J91" s="7" t="n">
        <v>215</v>
      </c>
      <c r="K91" s="7" t="n">
        <v>10</v>
      </c>
      <c r="L91" s="7" t="n">
        <v>6</v>
      </c>
      <c r="M91" s="7" t="n">
        <v>4</v>
      </c>
      <c r="N91" s="7" t="n">
        <v>1</v>
      </c>
      <c r="O91" s="7" t="inlineStr">
        <is>
          <t>BIKE,MOTO,CAR,TRUCK</t>
        </is>
      </c>
    </row>
    <row r="92" ht="45" customHeight="1">
      <c r="A92" s="8" t="inlineStr">
        <is>
          <t>AdeS Soja Durazno 1 L</t>
        </is>
      </c>
      <c r="B92" s="8" t="inlineStr">
        <is>
          <t>ades-soja-durazno-1-l</t>
        </is>
      </c>
      <c r="C92" s="8" t="inlineStr">
        <is>
          <t>Bebida de soja con jugo de durazno. Sabor suave y dulce con proteínas vegetales, vitaminas y minerales. Sin gluten.</t>
        </is>
      </c>
      <c r="D92" s="9" t="n">
        <v>0</v>
      </c>
      <c r="E92" s="9" t="n">
        <v>0</v>
      </c>
      <c r="F92" s="9" t="n">
        <v>100</v>
      </c>
      <c r="G92" s="9" t="n">
        <v>10</v>
      </c>
      <c r="H92" s="8" t="inlineStr">
        <is>
          <t>bebidas-vegetales</t>
        </is>
      </c>
      <c r="I92" s="8" t="inlineStr">
        <is>
          <t>SMALL</t>
        </is>
      </c>
      <c r="J92" s="9" t="n">
        <v>1050</v>
      </c>
      <c r="K92" s="9" t="n">
        <v>20</v>
      </c>
      <c r="L92" s="9" t="n">
        <v>7</v>
      </c>
      <c r="M92" s="9" t="n">
        <v>7</v>
      </c>
      <c r="N92" s="9" t="n">
        <v>3</v>
      </c>
      <c r="O92" s="9" t="inlineStr">
        <is>
          <t>MOTO,CAR,TRUCK</t>
        </is>
      </c>
    </row>
    <row r="93" ht="45" customHeight="1">
      <c r="A93" s="6" t="inlineStr">
        <is>
          <t>AdeS Soja Manzana 1 L</t>
        </is>
      </c>
      <c r="B93" s="6" t="inlineStr">
        <is>
          <t>ades-soja-manzana-1-l</t>
        </is>
      </c>
      <c r="C93" s="6" t="inlineStr">
        <is>
          <t>Bebida de soja con jugo de manzana. Nutrición vegetal con el sabor clásico de la manzana y vitaminas esenciales.</t>
        </is>
      </c>
      <c r="D93" s="7" t="n">
        <v>0</v>
      </c>
      <c r="E93" s="7" t="n">
        <v>0</v>
      </c>
      <c r="F93" s="7" t="n">
        <v>100</v>
      </c>
      <c r="G93" s="7" t="n">
        <v>10</v>
      </c>
      <c r="H93" s="6" t="inlineStr">
        <is>
          <t>bebidas-vegetales</t>
        </is>
      </c>
      <c r="I93" s="6" t="inlineStr">
        <is>
          <t>SMALL</t>
        </is>
      </c>
      <c r="J93" s="7" t="n">
        <v>1050</v>
      </c>
      <c r="K93" s="7" t="n">
        <v>20</v>
      </c>
      <c r="L93" s="7" t="n">
        <v>7</v>
      </c>
      <c r="M93" s="7" t="n">
        <v>7</v>
      </c>
      <c r="N93" s="7" t="n">
        <v>3</v>
      </c>
      <c r="O93" s="7" t="inlineStr">
        <is>
          <t>MOTO,CAR,TRUCK</t>
        </is>
      </c>
    </row>
    <row r="94" ht="45" customHeight="1">
      <c r="A94" s="8" t="inlineStr">
        <is>
          <t>AdeS Soja Multifruta 1 L</t>
        </is>
      </c>
      <c r="B94" s="8" t="inlineStr">
        <is>
          <t>ades-soja-multifruta-1-l</t>
        </is>
      </c>
      <c r="C94" s="8" t="inlineStr">
        <is>
          <t>Bebida de soja con mix de frutas. Variedad de sabores frutales con proteínas vegetales y vitaminas para tu día.</t>
        </is>
      </c>
      <c r="D94" s="9" t="n">
        <v>0</v>
      </c>
      <c r="E94" s="9" t="n">
        <v>0</v>
      </c>
      <c r="F94" s="9" t="n">
        <v>100</v>
      </c>
      <c r="G94" s="9" t="n">
        <v>10</v>
      </c>
      <c r="H94" s="8" t="inlineStr">
        <is>
          <t>bebidas-vegetales</t>
        </is>
      </c>
      <c r="I94" s="8" t="inlineStr">
        <is>
          <t>SMALL</t>
        </is>
      </c>
      <c r="J94" s="9" t="n">
        <v>1050</v>
      </c>
      <c r="K94" s="9" t="n">
        <v>20</v>
      </c>
      <c r="L94" s="9" t="n">
        <v>7</v>
      </c>
      <c r="M94" s="9" t="n">
        <v>7</v>
      </c>
      <c r="N94" s="9" t="n">
        <v>3</v>
      </c>
      <c r="O94" s="9" t="inlineStr">
        <is>
          <t>MOTO,CAR,TRUCK</t>
        </is>
      </c>
    </row>
    <row r="95" ht="45" customHeight="1">
      <c r="A95" s="6" t="inlineStr">
        <is>
          <t>AdeS Soja Frutilla 1 L</t>
        </is>
      </c>
      <c r="B95" s="6" t="inlineStr">
        <is>
          <t>ades-soja-frutilla-1-l</t>
        </is>
      </c>
      <c r="C95" s="6" t="inlineStr">
        <is>
          <t>Bebida de soja con jugo de frutilla. Sabor frutal irresistible con proteínas vegetales y vitaminas. Sin gluten.</t>
        </is>
      </c>
      <c r="D95" s="7" t="n">
        <v>0</v>
      </c>
      <c r="E95" s="7" t="n">
        <v>0</v>
      </c>
      <c r="F95" s="7" t="n">
        <v>100</v>
      </c>
      <c r="G95" s="7" t="n">
        <v>10</v>
      </c>
      <c r="H95" s="6" t="inlineStr">
        <is>
          <t>bebidas-vegetales</t>
        </is>
      </c>
      <c r="I95" s="6" t="inlineStr">
        <is>
          <t>SMALL</t>
        </is>
      </c>
      <c r="J95" s="7" t="n">
        <v>1050</v>
      </c>
      <c r="K95" s="7" t="n">
        <v>20</v>
      </c>
      <c r="L95" s="7" t="n">
        <v>7</v>
      </c>
      <c r="M95" s="7" t="n">
        <v>7</v>
      </c>
      <c r="N95" s="7" t="n">
        <v>3</v>
      </c>
      <c r="O95" s="7" t="inlineStr">
        <is>
          <t>MOTO,CAR,TRUCK</t>
        </is>
      </c>
    </row>
    <row r="96" ht="45" customHeight="1">
      <c r="A96" s="8" t="inlineStr">
        <is>
          <t>AdeS Almendras 1 L</t>
        </is>
      </c>
      <c r="B96" s="8" t="inlineStr">
        <is>
          <t>ades-almendras-1-l</t>
        </is>
      </c>
      <c r="C96" s="8" t="inlineStr">
        <is>
          <t>Bebida vegetal a base de almendras. Suave, cremosa y liviana. La alternativa vegetal perfecta para tu día a día.</t>
        </is>
      </c>
      <c r="D96" s="9" t="n">
        <v>0</v>
      </c>
      <c r="E96" s="9" t="n">
        <v>0</v>
      </c>
      <c r="F96" s="9" t="n">
        <v>100</v>
      </c>
      <c r="G96" s="9" t="n">
        <v>10</v>
      </c>
      <c r="H96" s="8" t="inlineStr">
        <is>
          <t>bebidas-vegetales</t>
        </is>
      </c>
      <c r="I96" s="8" t="inlineStr">
        <is>
          <t>SMALL</t>
        </is>
      </c>
      <c r="J96" s="9" t="n">
        <v>1040</v>
      </c>
      <c r="K96" s="9" t="n">
        <v>20</v>
      </c>
      <c r="L96" s="9" t="n">
        <v>7</v>
      </c>
      <c r="M96" s="9" t="n">
        <v>7</v>
      </c>
      <c r="N96" s="9" t="n">
        <v>3</v>
      </c>
      <c r="O96" s="9" t="inlineStr">
        <is>
          <t>MOTO,CAR,TRUCK</t>
        </is>
      </c>
    </row>
    <row r="97" ht="45" customHeight="1">
      <c r="A97" s="6" t="inlineStr">
        <is>
          <t>AdeS Soja Durazno 200 ml</t>
        </is>
      </c>
      <c r="B97" s="6" t="inlineStr">
        <is>
          <t>ades-soja-durazno-200-ml</t>
        </is>
      </c>
      <c r="C97" s="6" t="inlineStr">
        <is>
          <t>AdeS Durazno en envase individual. Proteínas de soja y jugo de durazno, práctico para llevar a donde vayas.</t>
        </is>
      </c>
      <c r="D97" s="7" t="n">
        <v>0</v>
      </c>
      <c r="E97" s="7" t="n">
        <v>0</v>
      </c>
      <c r="F97" s="7" t="n">
        <v>100</v>
      </c>
      <c r="G97" s="7" t="n">
        <v>10</v>
      </c>
      <c r="H97" s="6" t="inlineStr">
        <is>
          <t>bebidas-vegetales</t>
        </is>
      </c>
      <c r="I97" s="6" t="inlineStr">
        <is>
          <t>MICRO</t>
        </is>
      </c>
      <c r="J97" s="7" t="n">
        <v>215</v>
      </c>
      <c r="K97" s="7" t="n">
        <v>10</v>
      </c>
      <c r="L97" s="7" t="n">
        <v>6</v>
      </c>
      <c r="M97" s="7" t="n">
        <v>4</v>
      </c>
      <c r="N97" s="7" t="n">
        <v>1</v>
      </c>
      <c r="O97" s="7" t="inlineStr">
        <is>
          <t>BIKE,MOTO,CAR,TRUCK</t>
        </is>
      </c>
    </row>
    <row r="98" ht="20" customHeight="1">
      <c r="A98" s="4" t="inlineStr">
        <is>
          <t>ENERGIZANTES · MONSTER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 ht="45" customHeight="1">
      <c r="A99" s="6" t="inlineStr">
        <is>
          <t>Monster Energy Original 473 ml</t>
        </is>
      </c>
      <c r="B99" s="6" t="inlineStr">
        <is>
          <t>monster-energy-original-473-ml</t>
        </is>
      </c>
      <c r="C99" s="6" t="inlineStr">
        <is>
          <t>Desatá la bestia. La energizante original con el blend Monster: taurina, ginseng, cafeína y vitaminas B. Energía pura para tu día.</t>
        </is>
      </c>
      <c r="D99" s="7" t="n">
        <v>0</v>
      </c>
      <c r="E99" s="7" t="n">
        <v>0</v>
      </c>
      <c r="F99" s="7" t="n">
        <v>100</v>
      </c>
      <c r="G99" s="7" t="n">
        <v>10</v>
      </c>
      <c r="H99" s="6" t="inlineStr">
        <is>
          <t>energizantes</t>
        </is>
      </c>
      <c r="I99" s="6" t="inlineStr">
        <is>
          <t>SMALL</t>
        </is>
      </c>
      <c r="J99" s="7" t="n">
        <v>500</v>
      </c>
      <c r="K99" s="7" t="n">
        <v>17</v>
      </c>
      <c r="L99" s="7" t="n">
        <v>7</v>
      </c>
      <c r="M99" s="7" t="n">
        <v>7</v>
      </c>
      <c r="N99" s="7" t="n">
        <v>3</v>
      </c>
      <c r="O99" s="7" t="inlineStr">
        <is>
          <t>MOTO,CAR,TRUCK</t>
        </is>
      </c>
    </row>
    <row r="100" ht="45" customHeight="1">
      <c r="A100" s="8" t="inlineStr">
        <is>
          <t>Monster Energy Ultra 473 ml</t>
        </is>
      </c>
      <c r="B100" s="8" t="inlineStr">
        <is>
          <t>monster-energy-ultra-473-ml</t>
        </is>
      </c>
      <c r="C100" s="8" t="inlineStr">
        <is>
          <t>Toda la energía de Monster sin azúcar y cero calorías. Sabor ligero y refrescante con un toque cítrico. Lata blanca icónica.</t>
        </is>
      </c>
      <c r="D100" s="9" t="n">
        <v>0</v>
      </c>
      <c r="E100" s="9" t="n">
        <v>0</v>
      </c>
      <c r="F100" s="9" t="n">
        <v>100</v>
      </c>
      <c r="G100" s="9" t="n">
        <v>10</v>
      </c>
      <c r="H100" s="8" t="inlineStr">
        <is>
          <t>energizantes</t>
        </is>
      </c>
      <c r="I100" s="8" t="inlineStr">
        <is>
          <t>SMALL</t>
        </is>
      </c>
      <c r="J100" s="9" t="n">
        <v>495</v>
      </c>
      <c r="K100" s="9" t="n">
        <v>17</v>
      </c>
      <c r="L100" s="9" t="n">
        <v>7</v>
      </c>
      <c r="M100" s="9" t="n">
        <v>7</v>
      </c>
      <c r="N100" s="9" t="n">
        <v>3</v>
      </c>
      <c r="O100" s="9" t="inlineStr">
        <is>
          <t>MOTO,CAR,TRUCK</t>
        </is>
      </c>
    </row>
    <row r="101" ht="45" customHeight="1">
      <c r="A101" s="6" t="inlineStr">
        <is>
          <t>Monster Mango Loco 473 ml</t>
        </is>
      </c>
      <c r="B101" s="6" t="inlineStr">
        <is>
          <t>monster-mango-loco-473-ml</t>
        </is>
      </c>
      <c r="C101" s="6" t="inlineStr">
        <is>
          <t>Explosión tropical de mango con el golpe de energía Monster. Sabor exótico e intenso que te transporta al trópico.</t>
        </is>
      </c>
      <c r="D101" s="7" t="n">
        <v>0</v>
      </c>
      <c r="E101" s="7" t="n">
        <v>0</v>
      </c>
      <c r="F101" s="7" t="n">
        <v>100</v>
      </c>
      <c r="G101" s="7" t="n">
        <v>10</v>
      </c>
      <c r="H101" s="6" t="inlineStr">
        <is>
          <t>energizantes</t>
        </is>
      </c>
      <c r="I101" s="6" t="inlineStr">
        <is>
          <t>SMALL</t>
        </is>
      </c>
      <c r="J101" s="7" t="n">
        <v>500</v>
      </c>
      <c r="K101" s="7" t="n">
        <v>17</v>
      </c>
      <c r="L101" s="7" t="n">
        <v>7</v>
      </c>
      <c r="M101" s="7" t="n">
        <v>7</v>
      </c>
      <c r="N101" s="7" t="n">
        <v>3</v>
      </c>
      <c r="O101" s="7" t="inlineStr">
        <is>
          <t>MOTO,CAR,TRUCK</t>
        </is>
      </c>
    </row>
    <row r="102" ht="45" customHeight="1">
      <c r="A102" s="8" t="inlineStr">
        <is>
          <t>Monster Sunrise 473 ml</t>
        </is>
      </c>
      <c r="B102" s="8" t="inlineStr">
        <is>
          <t>monster-sunrise-473-ml</t>
        </is>
      </c>
      <c r="C102" s="8" t="inlineStr">
        <is>
          <t>Energía matutina sin azúcar con sabor cítrico a naranja. El despertar que necesitás con cero azúcar y máxima potencia.</t>
        </is>
      </c>
      <c r="D102" s="9" t="n">
        <v>0</v>
      </c>
      <c r="E102" s="9" t="n">
        <v>0</v>
      </c>
      <c r="F102" s="9" t="n">
        <v>100</v>
      </c>
      <c r="G102" s="9" t="n">
        <v>10</v>
      </c>
      <c r="H102" s="8" t="inlineStr">
        <is>
          <t>energizantes</t>
        </is>
      </c>
      <c r="I102" s="8" t="inlineStr">
        <is>
          <t>SMALL</t>
        </is>
      </c>
      <c r="J102" s="9" t="n">
        <v>495</v>
      </c>
      <c r="K102" s="9" t="n">
        <v>17</v>
      </c>
      <c r="L102" s="9" t="n">
        <v>7</v>
      </c>
      <c r="M102" s="9" t="n">
        <v>7</v>
      </c>
      <c r="N102" s="9" t="n">
        <v>3</v>
      </c>
      <c r="O102" s="9" t="inlineStr">
        <is>
          <t>MOTO,CAR,TRUCK</t>
        </is>
      </c>
    </row>
    <row r="103" ht="45" customHeight="1">
      <c r="A103" s="6" t="inlineStr">
        <is>
          <t>Monster VR46 The Doctor 473 ml</t>
        </is>
      </c>
      <c r="B103" s="6" t="inlineStr">
        <is>
          <t>monster-vr46-the-doctor-473-ml</t>
        </is>
      </c>
      <c r="C103" s="6" t="inlineStr">
        <is>
          <t>Edición especial Valentino Rossi. Sabor cítrico único con toda la energía y la actitud del legendario piloto.</t>
        </is>
      </c>
      <c r="D103" s="7" t="n">
        <v>0</v>
      </c>
      <c r="E103" s="7" t="n">
        <v>0</v>
      </c>
      <c r="F103" s="7" t="n">
        <v>100</v>
      </c>
      <c r="G103" s="7" t="n">
        <v>10</v>
      </c>
      <c r="H103" s="6" t="inlineStr">
        <is>
          <t>energizantes</t>
        </is>
      </c>
      <c r="I103" s="6" t="inlineStr">
        <is>
          <t>SMALL</t>
        </is>
      </c>
      <c r="J103" s="7" t="n">
        <v>500</v>
      </c>
      <c r="K103" s="7" t="n">
        <v>17</v>
      </c>
      <c r="L103" s="7" t="n">
        <v>7</v>
      </c>
      <c r="M103" s="7" t="n">
        <v>7</v>
      </c>
      <c r="N103" s="7" t="n">
        <v>3</v>
      </c>
      <c r="O103" s="7" t="inlineStr">
        <is>
          <t>MOTO,CAR,TRUCK</t>
        </is>
      </c>
    </row>
    <row r="104" ht="45" customHeight="1">
      <c r="A104" s="8" t="inlineStr">
        <is>
          <t>Monster Reserve 473 ml</t>
        </is>
      </c>
      <c r="B104" s="8" t="inlineStr">
        <is>
          <t>monster-reserve-473-ml</t>
        </is>
      </c>
      <c r="C104" s="8" t="inlineStr">
        <is>
          <t>Sabor premium con un toque diferenciado. Monster Reserve para los que buscan algo exclusivo en su dosis de energía.</t>
        </is>
      </c>
      <c r="D104" s="9" t="n">
        <v>0</v>
      </c>
      <c r="E104" s="9" t="n">
        <v>0</v>
      </c>
      <c r="F104" s="9" t="n">
        <v>100</v>
      </c>
      <c r="G104" s="9" t="n">
        <v>10</v>
      </c>
      <c r="H104" s="8" t="inlineStr">
        <is>
          <t>energizantes</t>
        </is>
      </c>
      <c r="I104" s="8" t="inlineStr">
        <is>
          <t>SMALL</t>
        </is>
      </c>
      <c r="J104" s="9" t="n">
        <v>500</v>
      </c>
      <c r="K104" s="9" t="n">
        <v>17</v>
      </c>
      <c r="L104" s="9" t="n">
        <v>7</v>
      </c>
      <c r="M104" s="9" t="n">
        <v>7</v>
      </c>
      <c r="N104" s="9" t="n">
        <v>3</v>
      </c>
      <c r="O104" s="9" t="inlineStr">
        <is>
          <t>MOTO,CAR,TRUCK</t>
        </is>
      </c>
    </row>
    <row r="105" ht="45" customHeight="1">
      <c r="A105" s="6" t="inlineStr">
        <is>
          <t>Monster Green Zero 473 ml</t>
        </is>
      </c>
      <c r="B105" s="6" t="inlineStr">
        <is>
          <t>monster-green-zero-473-ml</t>
        </is>
      </c>
      <c r="C105" s="6" t="inlineStr">
        <is>
          <t>El sabor clásico de Monster Green ahora sin azúcar. Toda la energía, cero azúcar, mismo rugido en cada lata.</t>
        </is>
      </c>
      <c r="D105" s="7" t="n">
        <v>0</v>
      </c>
      <c r="E105" s="7" t="n">
        <v>0</v>
      </c>
      <c r="F105" s="7" t="n">
        <v>100</v>
      </c>
      <c r="G105" s="7" t="n">
        <v>10</v>
      </c>
      <c r="H105" s="6" t="inlineStr">
        <is>
          <t>energizantes</t>
        </is>
      </c>
      <c r="I105" s="6" t="inlineStr">
        <is>
          <t>SMALL</t>
        </is>
      </c>
      <c r="J105" s="7" t="n">
        <v>495</v>
      </c>
      <c r="K105" s="7" t="n">
        <v>17</v>
      </c>
      <c r="L105" s="7" t="n">
        <v>7</v>
      </c>
      <c r="M105" s="7" t="n">
        <v>7</v>
      </c>
      <c r="N105" s="7" t="n">
        <v>3</v>
      </c>
      <c r="O105" s="7" t="inlineStr">
        <is>
          <t>MOTO,CAR,TRUCK</t>
        </is>
      </c>
    </row>
    <row r="106" ht="45" customHeight="1">
      <c r="A106" s="8" t="inlineStr">
        <is>
          <t>Monster Watermelon 473 ml</t>
        </is>
      </c>
      <c r="B106" s="8" t="inlineStr">
        <is>
          <t>monster-watermelon-473-ml</t>
        </is>
      </c>
      <c r="C106" s="8" t="inlineStr">
        <is>
          <t>Energía con sabor a sandía refrescante. Dulce, frutal y llena de fuerza para tus días más intensos y exigentes.</t>
        </is>
      </c>
      <c r="D106" s="9" t="n">
        <v>0</v>
      </c>
      <c r="E106" s="9" t="n">
        <v>0</v>
      </c>
      <c r="F106" s="9" t="n">
        <v>100</v>
      </c>
      <c r="G106" s="9" t="n">
        <v>10</v>
      </c>
      <c r="H106" s="8" t="inlineStr">
        <is>
          <t>energizantes</t>
        </is>
      </c>
      <c r="I106" s="8" t="inlineStr">
        <is>
          <t>SMALL</t>
        </is>
      </c>
      <c r="J106" s="9" t="n">
        <v>500</v>
      </c>
      <c r="K106" s="9" t="n">
        <v>17</v>
      </c>
      <c r="L106" s="9" t="n">
        <v>7</v>
      </c>
      <c r="M106" s="9" t="n">
        <v>7</v>
      </c>
      <c r="N106" s="9" t="n">
        <v>3</v>
      </c>
      <c r="O106" s="9" t="inlineStr">
        <is>
          <t>MOTO,CAR,TRUCK</t>
        </is>
      </c>
    </row>
  </sheetData>
  <mergeCells count="14">
    <mergeCell ref="A83:O83"/>
    <mergeCell ref="A29:O29"/>
    <mergeCell ref="A59:O59"/>
    <mergeCell ref="A88:O88"/>
    <mergeCell ref="A38:O38"/>
    <mergeCell ref="A2:O2"/>
    <mergeCell ref="A51:O51"/>
    <mergeCell ref="A98:O98"/>
    <mergeCell ref="A1:O1"/>
    <mergeCell ref="A5:O5"/>
    <mergeCell ref="A46:O46"/>
    <mergeCell ref="A74:O74"/>
    <mergeCell ref="A67:O67"/>
    <mergeCell ref="A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28" customWidth="1" min="5" max="5"/>
    <col width="50" customWidth="1" min="6" max="6"/>
  </cols>
  <sheetData>
    <row r="1">
      <c r="A1" s="10" t="inlineStr">
        <is>
          <t>Referencia: PackageCategory de Moovy</t>
        </is>
      </c>
    </row>
    <row r="3">
      <c r="A3" s="3" t="inlineStr">
        <is>
          <t>name</t>
        </is>
      </c>
      <c r="B3" s="3" t="inlineStr">
        <is>
          <t>maxWeightGrams</t>
        </is>
      </c>
      <c r="C3" s="3" t="inlineStr">
        <is>
          <t>Dimensiones (L×A×H)</t>
        </is>
      </c>
      <c r="D3" s="3" t="inlineStr">
        <is>
          <t>volumeScore</t>
        </is>
      </c>
      <c r="E3" s="3" t="inlineStr">
        <is>
          <t>allowedVehicles</t>
        </is>
      </c>
      <c r="F3" s="3" t="inlineStr">
        <is>
          <t>Ejemplo</t>
        </is>
      </c>
    </row>
    <row r="4">
      <c r="A4" s="7" t="inlineStr">
        <is>
          <t>MICRO</t>
        </is>
      </c>
      <c r="B4" s="7" t="inlineStr">
        <is>
          <t>&lt; 500g</t>
        </is>
      </c>
      <c r="C4" s="7" t="inlineStr">
        <is>
          <t>&lt; 15×8×8 cm</t>
        </is>
      </c>
      <c r="D4" s="7" t="n">
        <v>1</v>
      </c>
      <c r="E4" s="7" t="inlineStr">
        <is>
          <t>BIKE,MOTO,CAR,TRUCK</t>
        </is>
      </c>
      <c r="F4" s="6" t="inlineStr">
        <is>
          <t>Latas 354ml, Tetra 200ml</t>
        </is>
      </c>
    </row>
    <row r="5">
      <c r="A5" s="7" t="inlineStr">
        <is>
          <t>SMALL</t>
        </is>
      </c>
      <c r="B5" s="7" t="inlineStr">
        <is>
          <t>500–1100g</t>
        </is>
      </c>
      <c r="C5" s="7" t="inlineStr">
        <is>
          <t>15-25×8×8 cm</t>
        </is>
      </c>
      <c r="D5" s="7" t="n">
        <v>3</v>
      </c>
      <c r="E5" s="7" t="inlineStr">
        <is>
          <t>MOTO,CAR,TRUCK</t>
        </is>
      </c>
      <c r="F5" s="6" t="inlineStr">
        <is>
          <t>PET 500-600ml, latas 473ml, Tetra 1L</t>
        </is>
      </c>
    </row>
    <row r="6">
      <c r="A6" s="7" t="inlineStr">
        <is>
          <t>MEDIUM</t>
        </is>
      </c>
      <c r="B6" s="7" t="inlineStr">
        <is>
          <t>1100–2000g</t>
        </is>
      </c>
      <c r="C6" s="7" t="inlineStr">
        <is>
          <t>25-35×10×10 cm</t>
        </is>
      </c>
      <c r="D6" s="7" t="n">
        <v>6</v>
      </c>
      <c r="E6" s="7" t="inlineStr">
        <is>
          <t>CAR,TRUCK</t>
        </is>
      </c>
      <c r="F6" s="6" t="inlineStr">
        <is>
          <t>PET 1.5L, Bonaqua 2L</t>
        </is>
      </c>
    </row>
    <row r="7">
      <c r="A7" s="7" t="inlineStr">
        <is>
          <t>LARGE</t>
        </is>
      </c>
      <c r="B7" s="7" t="inlineStr">
        <is>
          <t>2000–3500g</t>
        </is>
      </c>
      <c r="C7" s="7" t="inlineStr">
        <is>
          <t>35-45×12×12 cm</t>
        </is>
      </c>
      <c r="D7" s="7" t="n">
        <v>10</v>
      </c>
      <c r="E7" s="7" t="inlineStr">
        <is>
          <t>CAR,TRUCK</t>
        </is>
      </c>
      <c r="F7" s="6" t="inlineStr">
        <is>
          <t>PET 2.25L, 3L</t>
        </is>
      </c>
    </row>
    <row r="8">
      <c r="A8" s="7" t="inlineStr">
        <is>
          <t>XL</t>
        </is>
      </c>
      <c r="B8" s="7" t="inlineStr">
        <is>
          <t>&gt; 3500g</t>
        </is>
      </c>
      <c r="C8" s="7" t="inlineStr">
        <is>
          <t>&gt; 45cm</t>
        </is>
      </c>
      <c r="D8" s="7" t="n">
        <v>20</v>
      </c>
      <c r="E8" s="7" t="inlineStr">
        <is>
          <t>CAR,TRUCK</t>
        </is>
      </c>
      <c r="F8" s="6" t="inlineStr">
        <is>
          <t>Bidones, cajas mayoristas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6" customWidth="1" min="4" max="4"/>
  </cols>
  <sheetData>
    <row r="1">
      <c r="A1" s="10" t="inlineStr">
        <is>
          <t>Simulador: ¿Qué vehículo necesita mi pedido?</t>
        </is>
      </c>
    </row>
    <row r="3">
      <c r="A3" s="3" t="inlineStr">
        <is>
          <t>Producto</t>
        </is>
      </c>
      <c r="B3" s="3" t="inlineStr">
        <is>
          <t>Cantidad</t>
        </is>
      </c>
      <c r="C3" s="3" t="inlineStr">
        <is>
          <t>volScore unit.</t>
        </is>
      </c>
      <c r="D3" s="3" t="inlineStr">
        <is>
          <t>Subtotal</t>
        </is>
      </c>
    </row>
    <row r="4">
      <c r="A4" s="11" t="inlineStr">
        <is>
          <t>Coca-Cola Original 500 ml</t>
        </is>
      </c>
      <c r="B4" s="7" t="n">
        <v>20</v>
      </c>
      <c r="C4" s="7" t="n">
        <v>3</v>
      </c>
      <c r="D4" s="7">
        <f>B4*C4</f>
        <v/>
      </c>
    </row>
    <row r="5">
      <c r="A5" s="11" t="inlineStr">
        <is>
          <t>Fanta Lata 354ml</t>
        </is>
      </c>
      <c r="B5" s="7" t="n">
        <v>5</v>
      </c>
      <c r="C5" s="7" t="n">
        <v>1</v>
      </c>
      <c r="D5" s="7">
        <f>B5*C5</f>
        <v/>
      </c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3" t="inlineStr">
        <is>
          <t>TOTAL SCORE</t>
        </is>
      </c>
      <c r="D14" s="14">
        <f>SUM(D4:D13)</f>
        <v/>
      </c>
    </row>
    <row r="15">
      <c r="A15" s="13" t="inlineStr">
        <is>
          <t>VEHÍCULO</t>
        </is>
      </c>
      <c r="D15" s="15">
        <f>IF(D14&lt;=5,"BIKE/MOTO/CAR",IF(D14&lt;=15,"MOTO/CAR",IF(D14&lt;=60,"CAR/TRUCK","TRUCK")))</f>
        <v/>
      </c>
    </row>
  </sheetData>
  <mergeCells count="3">
    <mergeCell ref="A15:C15"/>
    <mergeCell ref="A1:D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2026-03-20T15:38:18Z</dcterms:created>
  <dcterms:modified xmlns:dcterms="http://purl.org/dc/terms/" xmlns:xsi="http://www.w3.org/2001/XMLSchema-instance" xsi:type="dcterms:W3CDTF">2026-03-20T15:38:19Z</dcterms:modified>
</cp:coreProperties>
</file>